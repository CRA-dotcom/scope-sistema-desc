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. Balance General" sheetId="2" state="visible" r:id="rId4"/>
    <sheet name="2. Estado de Resultados" sheetId="3" state="visible" r:id="rId5"/>
    <sheet name="3. Análisis Horizontal" sheetId="4" state="visible" r:id="rId6"/>
    <sheet name="4. Análisis Vertical" sheetId="5" state="visible" r:id="rId7"/>
    <sheet name="5. Ratios Financieros" sheetId="6" state="visible" r:id="rId8"/>
    <sheet name="6. EBITDA &amp; CCE" sheetId="7" state="visible" r:id="rId9"/>
    <sheet name="7. Dashboard Ejecutivo" sheetId="8" state="visible" r:id="rId10"/>
    <sheet name="⚠ Cavea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<sst xmlns="http://schemas.openxmlformats.org/spreadsheetml/2006/main" count="340" uniqueCount="279">
  <si>
    <t xml:space="preserve">DIAGNÓSTICO FINANCIERO INTEGRAL</t>
  </si>
  <si>
    <t xml:space="preserve">Plantilla de Análisis Financiero Automático — CRA Consultoría</t>
  </si>
  <si>
    <t xml:space="preserve">DATOS DEL CLIENTE</t>
  </si>
  <si>
    <t xml:space="preserve">Empresa:</t>
  </si>
  <si>
    <t xml:space="preserve">[Nombre de la empresa]</t>
  </si>
  <si>
    <t xml:space="preserve">Período de análisis:</t>
  </si>
  <si>
    <t xml:space="preserve">[Año -2] | [Año -1] | [Año Actual]</t>
  </si>
  <si>
    <t xml:space="preserve">Moneda / Unidad:</t>
  </si>
  <si>
    <t xml:space="preserve">[MXN / Miles]</t>
  </si>
  <si>
    <t xml:space="preserve">Fecha de análisis:</t>
  </si>
  <si>
    <t xml:space="preserve">[DD/MM/AAAA]</t>
  </si>
  <si>
    <t xml:space="preserve">Analista:</t>
  </si>
  <si>
    <t xml:space="preserve">[Nombre]</t>
  </si>
  <si>
    <t xml:space="preserve">Revisado por:</t>
  </si>
  <si>
    <t xml:space="preserve">ÍNDICE DE HOJAS</t>
  </si>
  <si>
    <t xml:space="preserve">1. Balance General</t>
  </si>
  <si>
    <t xml:space="preserve">Datos de entrada — Estado de Situación Financiera</t>
  </si>
  <si>
    <t xml:space="preserve">2. Estado de Resultados</t>
  </si>
  <si>
    <t xml:space="preserve">Datos de entrada — P&amp;L últimos 3 años</t>
  </si>
  <si>
    <t xml:space="preserve">3. Análisis Horizontal</t>
  </si>
  <si>
    <t xml:space="preserve">Variaciones absolutas y relativas entre períodos</t>
  </si>
  <si>
    <t xml:space="preserve">4. Análisis Vertical</t>
  </si>
  <si>
    <t xml:space="preserve">Composición porcentual de cada rubro</t>
  </si>
  <si>
    <t xml:space="preserve">5. Ratios Financieros</t>
  </si>
  <si>
    <t xml:space="preserve">Liquidez, Solvencia, Eficiencia, Rentabilidad</t>
  </si>
  <si>
    <t xml:space="preserve">6. EBITDA &amp; CCE</t>
  </si>
  <si>
    <t xml:space="preserve">EBITDA, Márgenes y Ciclo de Conversión de Efectivo</t>
  </si>
  <si>
    <t xml:space="preserve">7. Dashboard Ejecutivo</t>
  </si>
  <si>
    <t xml:space="preserve">KPIs visuales y alertas automáticas</t>
  </si>
  <si>
    <t xml:space="preserve">BALANCE GENERAL (ESTADO DE SITUACIÓN FINANCIERA)</t>
  </si>
  <si>
    <t xml:space="preserve">CONCEPTO</t>
  </si>
  <si>
    <t xml:space="preserve">AÑO -2</t>
  </si>
  <si>
    <t xml:space="preserve">AÑO -1</t>
  </si>
  <si>
    <t xml:space="preserve">AÑO ACTUAL</t>
  </si>
  <si>
    <t xml:space="preserve">NOTAS</t>
  </si>
  <si>
    <t xml:space="preserve">  A C T I V O S</t>
  </si>
  <si>
    <t xml:space="preserve">ACTIVO TOTAL</t>
  </si>
  <si>
    <t xml:space="preserve">  ACTIVO CIRCULANTE</t>
  </si>
  <si>
    <t xml:space="preserve">  Efectivo y equivalentes de efectivo</t>
  </si>
  <si>
    <t xml:space="preserve">  Cuentas por cobrar a clientes (neto)</t>
  </si>
  <si>
    <t xml:space="preserve">  Otras cuentas por cobrar</t>
  </si>
  <si>
    <t xml:space="preserve">  Inventarios</t>
  </si>
  <si>
    <t xml:space="preserve">  Pagos anticipados</t>
  </si>
  <si>
    <t xml:space="preserve">  Otros activos circulantes</t>
  </si>
  <si>
    <t xml:space="preserve">TOTAL ACTIVO CIRCULANTE</t>
  </si>
  <si>
    <t xml:space="preserve">  ACTIVO NO CIRCULANTE</t>
  </si>
  <si>
    <t xml:space="preserve">  Inmuebles, planta y equipo (neto)</t>
  </si>
  <si>
    <t xml:space="preserve">  Activos intangibles y goodwill (neto)</t>
  </si>
  <si>
    <t xml:space="preserve">  Inversiones en subsidiarias/asociadas</t>
  </si>
  <si>
    <t xml:space="preserve">  Impuestos diferidos activo</t>
  </si>
  <si>
    <t xml:space="preserve">  Otros activos no circulantes</t>
  </si>
  <si>
    <t xml:space="preserve">TOTAL ACTIVO NO CIRCULANTE</t>
  </si>
  <si>
    <t xml:space="preserve">  P A S I V O S</t>
  </si>
  <si>
    <t xml:space="preserve">PASIVO TOTAL</t>
  </si>
  <si>
    <t xml:space="preserve">  PASIVO CIRCULANTE</t>
  </si>
  <si>
    <t xml:space="preserve">  Proveedores y acreedores</t>
  </si>
  <si>
    <t xml:space="preserve">  Créditos bancarios corto plazo</t>
  </si>
  <si>
    <t xml:space="preserve">  Porción CP de deuda largo plazo</t>
  </si>
  <si>
    <t xml:space="preserve">  Impuestos por pagar</t>
  </si>
  <si>
    <t xml:space="preserve">  Otros pasivos circulantes</t>
  </si>
  <si>
    <t xml:space="preserve">TOTAL PASIVO CIRCULANTE</t>
  </si>
  <si>
    <t xml:space="preserve">  PASIVO NO CIRCULANTE</t>
  </si>
  <si>
    <t xml:space="preserve">  Deuda bancaria largo plazo</t>
  </si>
  <si>
    <t xml:space="preserve">  Arrendamientos financieros LP (IFRS)</t>
  </si>
  <si>
    <t xml:space="preserve">  Impuestos diferidos pasivo</t>
  </si>
  <si>
    <t xml:space="preserve">  Otros pasivos no circulantes</t>
  </si>
  <si>
    <t xml:space="preserve">TOTAL PASIVO NO CIRCULANTE</t>
  </si>
  <si>
    <t xml:space="preserve">  C A P I T A L   C O N T A B L E</t>
  </si>
  <si>
    <t xml:space="preserve">  Capital social</t>
  </si>
  <si>
    <t xml:space="preserve">  Prima en emisión de acciones</t>
  </si>
  <si>
    <t xml:space="preserve">  Utilidades retenidas acumuladas</t>
  </si>
  <si>
    <t xml:space="preserve">  Resultado del ejercicio</t>
  </si>
  <si>
    <t xml:space="preserve">  ORI / Otros componentes de capital</t>
  </si>
  <si>
    <t xml:space="preserve">TOTAL CAPITAL CONTABLE</t>
  </si>
  <si>
    <t xml:space="preserve">VERIFICACIÓN DE CUADRE (Activo = Pasivo + Capital)</t>
  </si>
  <si>
    <t xml:space="preserve">INSTRUCCIÓN: Celdas en azul = ingresar datos. Celdas verdes = calculadas automáticamente. No modificar fórmulas.</t>
  </si>
  <si>
    <t xml:space="preserve">ESTADO DE RESULTADOS (PROFIT &amp; LOSS)</t>
  </si>
  <si>
    <t xml:space="preserve">  I N G R E S O S</t>
  </si>
  <si>
    <t xml:space="preserve">  Ventas de productos</t>
  </si>
  <si>
    <t xml:space="preserve">  Ventas de servicios</t>
  </si>
  <si>
    <t xml:space="preserve">  Otros ingresos operativos</t>
  </si>
  <si>
    <t xml:space="preserve">INGRESOS NETOS (Ventas Netas)</t>
  </si>
  <si>
    <t xml:space="preserve">(-) COSTO DE VENTAS / COSTO DE SERVICIOS</t>
  </si>
  <si>
    <t xml:space="preserve">UTILIDAD BRUTA</t>
  </si>
  <si>
    <t xml:space="preserve">    % Margen Bruto</t>
  </si>
  <si>
    <t xml:space="preserve">  G A S T O S   D E   O P E R A C I Ó N</t>
  </si>
  <si>
    <t xml:space="preserve">  Gastos de venta</t>
  </si>
  <si>
    <t xml:space="preserve">  Gastos de administración</t>
  </si>
  <si>
    <t xml:space="preserve">  Otros gastos operativos</t>
  </si>
  <si>
    <t xml:space="preserve">TOTAL GASTOS OPERACIÓN</t>
  </si>
  <si>
    <t xml:space="preserve">UTILIDAD DE OPERACIÓN (EBIT)</t>
  </si>
  <si>
    <t xml:space="preserve">    % Margen Operativo (EBIT)</t>
  </si>
  <si>
    <t xml:space="preserve">  R E S U L T A D O   F I N A N C I E R O</t>
  </si>
  <si>
    <t xml:space="preserve">  (-) Intereses devengados a cargo</t>
  </si>
  <si>
    <t xml:space="preserve">  (+) Intereses y rendimientos ganados</t>
  </si>
  <si>
    <t xml:space="preserve">  (±) Fluctuación cambiaria neta</t>
  </si>
  <si>
    <t xml:space="preserve">  Otras partidas financieras netas</t>
  </si>
  <si>
    <t xml:space="preserve">RESULTADO INTEGRAL FINANC. (RIF)</t>
  </si>
  <si>
    <t xml:space="preserve">UTILIDAD ANTES DE IMPUESTOS (EBT)</t>
  </si>
  <si>
    <t xml:space="preserve">(-) Impuesto sobre la renta (ISR/IT)</t>
  </si>
  <si>
    <t xml:space="preserve">(-) PTU (participación trabajadores)</t>
  </si>
  <si>
    <t xml:space="preserve">UTILIDAD NETA DEL EJERCICIO</t>
  </si>
  <si>
    <t xml:space="preserve">    % Margen Neto</t>
  </si>
  <si>
    <t xml:space="preserve">  D A T O S   C O M P L E M E N T A R I O S</t>
  </si>
  <si>
    <t xml:space="preserve">  Depreciación del período (D&amp;A)</t>
  </si>
  <si>
    <t xml:space="preserve">  Amortización del período</t>
  </si>
  <si>
    <t xml:space="preserve">  CAPEX (inversión en activos fijos)</t>
  </si>
  <si>
    <t xml:space="preserve">  Flujo libre de efectivo operativo</t>
  </si>
  <si>
    <t xml:space="preserve">ANÁLISIS HORIZONTAL — VARIACIONES ENTRE PERÍODOS</t>
  </si>
  <si>
    <t xml:space="preserve">Var. Abs. -2→-1</t>
  </si>
  <si>
    <t xml:space="preserve">Var. % -2→-1</t>
  </si>
  <si>
    <t xml:space="preserve">Var. Abs. -1→0</t>
  </si>
  <si>
    <t xml:space="preserve">Var. % -1→0</t>
  </si>
  <si>
    <t xml:space="preserve">INGRESOS NETOS</t>
  </si>
  <si>
    <t xml:space="preserve">  Utilidad Bruta</t>
  </si>
  <si>
    <t xml:space="preserve">  Utilidad Operativa (EBIT)</t>
  </si>
  <si>
    <t xml:space="preserve">  Utilidad Neta</t>
  </si>
  <si>
    <t xml:space="preserve">  Activo Circulante</t>
  </si>
  <si>
    <t xml:space="preserve">  Activo No Circulante</t>
  </si>
  <si>
    <t xml:space="preserve">  Pasivo Circulante</t>
  </si>
  <si>
    <t xml:space="preserve">  Pasivo No Circulante</t>
  </si>
  <si>
    <t xml:space="preserve">CAPITAL CONTABLE</t>
  </si>
  <si>
    <t xml:space="preserve">  Efectivo</t>
  </si>
  <si>
    <t xml:space="preserve">  Cuentas por Cobrar</t>
  </si>
  <si>
    <t xml:space="preserve">  Proveedores</t>
  </si>
  <si>
    <t xml:space="preserve">ANÁLISIS VERTICAL — COMPOSICIÓN PORCENTUAL</t>
  </si>
  <si>
    <t xml:space="preserve">% del Total A-2</t>
  </si>
  <si>
    <t xml:space="preserve">% del Total A-1</t>
  </si>
  <si>
    <t xml:space="preserve">% del Total A-0</t>
  </si>
  <si>
    <t xml:space="preserve">Referencia</t>
  </si>
  <si>
    <t xml:space="preserve">── ANÁLISIS VERTICAL: P&amp;L (% sobre Ingresos Netos) ──</t>
  </si>
  <si>
    <t xml:space="preserve">Ingresos Netos</t>
  </si>
  <si>
    <t xml:space="preserve">% Ing.</t>
  </si>
  <si>
    <t xml:space="preserve">(-) Costo de Ventas</t>
  </si>
  <si>
    <t xml:space="preserve">Utilidad Bruta</t>
  </si>
  <si>
    <t xml:space="preserve">(-) Gastos Operación</t>
  </si>
  <si>
    <t xml:space="preserve">Utilidad Operativa EBIT</t>
  </si>
  <si>
    <t xml:space="preserve">Resultado Financiero RIF</t>
  </si>
  <si>
    <t xml:space="preserve">Utilidad Antes Imp. EBT</t>
  </si>
  <si>
    <t xml:space="preserve">Impuestos y PTU</t>
  </si>
  <si>
    <t xml:space="preserve">UTILIDAD NETA</t>
  </si>
  <si>
    <t xml:space="preserve">── ANÁLISIS VERTICAL: BALANCE (% sobre Activo Total) ──</t>
  </si>
  <si>
    <t xml:space="preserve">Activo Circulante</t>
  </si>
  <si>
    <t xml:space="preserve">% Act.</t>
  </si>
  <si>
    <t xml:space="preserve">Activo No Circulante</t>
  </si>
  <si>
    <t xml:space="preserve">Pasivo Circulante</t>
  </si>
  <si>
    <t xml:space="preserve">Pasivo No Circulante</t>
  </si>
  <si>
    <t xml:space="preserve">Capital Contable</t>
  </si>
  <si>
    <t xml:space="preserve">RATIOS FINANCIEROS — ANÁLISIS INTEGRAL</t>
  </si>
  <si>
    <t xml:space="preserve">RATIO</t>
  </si>
  <si>
    <t xml:space="preserve">FÓRMULA</t>
  </si>
  <si>
    <t xml:space="preserve">BENCHMARK REF.</t>
  </si>
  <si>
    <t xml:space="preserve">INTERPRETACIÓN</t>
  </si>
  <si>
    <t xml:space="preserve">  I. RATIOS DE LIQUIDEZ</t>
  </si>
  <si>
    <t xml:space="preserve">Razón Circulante</t>
  </si>
  <si>
    <t xml:space="preserve">Activo Circ. / Pasivo Circ.</t>
  </si>
  <si>
    <t xml:space="preserve">≥ 1.5x – 2.0x</t>
  </si>
  <si>
    <t xml:space="preserve">Mide cobertura de pasivos CP con activos CP</t>
  </si>
  <si>
    <t xml:space="preserve">Prueba Ácida</t>
  </si>
  <si>
    <t xml:space="preserve">(Activo Circ. - Inventarios) / Pasivo Circ.</t>
  </si>
  <si>
    <t xml:space="preserve">≥ 1.0x</t>
  </si>
  <si>
    <t xml:space="preserve">Excluye inventarios (menos líquidos)</t>
  </si>
  <si>
    <t xml:space="preserve">Razón de Efectivo</t>
  </si>
  <si>
    <t xml:space="preserve">Efectivo / Pasivo Circulante</t>
  </si>
  <si>
    <t xml:space="preserve">≥ 0.2x</t>
  </si>
  <si>
    <t xml:space="preserve">Liquidez inmediata más conservadora</t>
  </si>
  <si>
    <t xml:space="preserve">Capital de Trabajo Neto</t>
  </si>
  <si>
    <t xml:space="preserve">Activo Circ. - Pasivo Circ.</t>
  </si>
  <si>
    <t xml:space="preserve">&gt; 0</t>
  </si>
  <si>
    <t xml:space="preserve">Colchón operativo disponible</t>
  </si>
  <si>
    <t xml:space="preserve">  II. RATIOS DE SOLVENCIA / APALANCAMIENTO</t>
  </si>
  <si>
    <t xml:space="preserve">Deuda Total / Capital (D/E)</t>
  </si>
  <si>
    <t xml:space="preserve">(Pasivo CP + Pasivo LP) / Capital</t>
  </si>
  <si>
    <t xml:space="preserve">&lt; 1.5x–2.0x</t>
  </si>
  <si>
    <t xml:space="preserve">Mayor ratio = mayor riesgo financiero</t>
  </si>
  <si>
    <t xml:space="preserve">Deuda Neta / EBITDA</t>
  </si>
  <si>
    <t xml:space="preserve">Deuda Financiera Neta / EBITDA</t>
  </si>
  <si>
    <t xml:space="preserve">&lt; 3.0x (sector)</t>
  </si>
  <si>
    <t xml:space="preserve">Leverage ajustado por generación de caja</t>
  </si>
  <si>
    <t xml:space="preserve">Cobertura de Intereses (ICR)</t>
  </si>
  <si>
    <t xml:space="preserve">EBIT / Intereses a Cargo</t>
  </si>
  <si>
    <t xml:space="preserve">≥ 3.0x</t>
  </si>
  <si>
    <t xml:space="preserve">Menor de 1.5x = riesgo de incumplimiento</t>
  </si>
  <si>
    <t xml:space="preserve">Razón de Endeudamiento</t>
  </si>
  <si>
    <t xml:space="preserve">Pasivo Total / Activo Total</t>
  </si>
  <si>
    <t xml:space="preserve">&lt; 0.6x</t>
  </si>
  <si>
    <t xml:space="preserve">% del activo financiado con deuda</t>
  </si>
  <si>
    <t xml:space="preserve">  III. RATIOS DE EFICIENCIA / ACTIVIDAD</t>
  </si>
  <si>
    <t xml:space="preserve">Rotación de Cartera (CxC)</t>
  </si>
  <si>
    <t xml:space="preserve">Ventas Netas / CxC Promedio</t>
  </si>
  <si>
    <t xml:space="preserve">Sectorial</t>
  </si>
  <si>
    <t xml:space="preserve">Veces por año que se cobra la cartera</t>
  </si>
  <si>
    <t xml:space="preserve">Días de Cuentas por Cobrar (DSO)</t>
  </si>
  <si>
    <t xml:space="preserve">CxC / (Ventas/365)</t>
  </si>
  <si>
    <t xml:space="preserve">30 – 60 días</t>
  </si>
  <si>
    <t xml:space="preserve">Tiempo promedio de cobro a clientes</t>
  </si>
  <si>
    <t xml:space="preserve">Días de Inventario (DIO)</t>
  </si>
  <si>
    <t xml:space="preserve">Inventario / (Costo Vtas/365)</t>
  </si>
  <si>
    <t xml:space="preserve">Días promedio de rotación de inventario</t>
  </si>
  <si>
    <t xml:space="preserve">Días de Cuentas por Pagar (DPO)</t>
  </si>
  <si>
    <t xml:space="preserve">Proveedores / (Costo Vtas/365)</t>
  </si>
  <si>
    <t xml:space="preserve">Días de crédito recibido de proveedores</t>
  </si>
  <si>
    <t xml:space="preserve">Rotación de Activos Totales</t>
  </si>
  <si>
    <t xml:space="preserve">Ventas Netas / Activo Total</t>
  </si>
  <si>
    <t xml:space="preserve">Eficiencia en uso de activos para generar ventas</t>
  </si>
  <si>
    <t xml:space="preserve">  IV. RATIOS DE RENTABILIDAD</t>
  </si>
  <si>
    <t xml:space="preserve">Margen Bruto</t>
  </si>
  <si>
    <t xml:space="preserve">Utilidad Bruta / Ventas Netas</t>
  </si>
  <si>
    <t xml:space="preserve">% de ventas remanente tras costos directos</t>
  </si>
  <si>
    <t xml:space="preserve">Margen EBIT (Operativo)</t>
  </si>
  <si>
    <t xml:space="preserve">EBIT / Ventas Netas</t>
  </si>
  <si>
    <t xml:space="preserve">Rentabilidad operativa antes de financieros</t>
  </si>
  <si>
    <t xml:space="preserve">Margen Neto</t>
  </si>
  <si>
    <t xml:space="preserve">Utilidad Neta / Ventas Netas</t>
  </si>
  <si>
    <t xml:space="preserve">Rentabilidad final después de impuestos</t>
  </si>
  <si>
    <t xml:space="preserve">ROA (Return on Assets)</t>
  </si>
  <si>
    <t xml:space="preserve">Utilidad Neta / Activo Total</t>
  </si>
  <si>
    <t xml:space="preserve">≥ 5%</t>
  </si>
  <si>
    <t xml:space="preserve">Rentabilidad sobre la base de activos totales</t>
  </si>
  <si>
    <t xml:space="preserve">ROE (Return on Equity)</t>
  </si>
  <si>
    <t xml:space="preserve">Utilidad Neta / Capital Contable</t>
  </si>
  <si>
    <t xml:space="preserve">≥ 10%</t>
  </si>
  <si>
    <t xml:space="preserve">Retorno para los accionistas sobre capital invertido</t>
  </si>
  <si>
    <t xml:space="preserve">ROCE (Return on Capital Employed)</t>
  </si>
  <si>
    <t xml:space="preserve">EBIT / (Activo Total - Pasivo Circ.)</t>
  </si>
  <si>
    <t xml:space="preserve">≥ 15%</t>
  </si>
  <si>
    <t xml:space="preserve">Eficiencia del capital empleado en operaciones</t>
  </si>
  <si>
    <t xml:space="preserve">EBITDA, MÁRGENES Y CICLO DE CONVERSIÓN DE EFECTIVO</t>
  </si>
  <si>
    <t xml:space="preserve">COMENTARIO</t>
  </si>
  <si>
    <t xml:space="preserve">  I. CÁLCULO DEL EBITDA</t>
  </si>
  <si>
    <t xml:space="preserve">Utilidad Neta</t>
  </si>
  <si>
    <t xml:space="preserve">(+) Impuestos (ISR + PTU)</t>
  </si>
  <si>
    <t xml:space="preserve">(+) Gastos Financieros Netos</t>
  </si>
  <si>
    <t xml:space="preserve">(+) Depreciación y Amortización</t>
  </si>
  <si>
    <t xml:space="preserve">EBITDA</t>
  </si>
  <si>
    <t xml:space="preserve">Margen EBITDA (%)</t>
  </si>
  <si>
    <t xml:space="preserve">EBITDA - CAPEX (FCF Proxy)</t>
  </si>
  <si>
    <t xml:space="preserve">  II. CICLO DE CONVERSIÓN DE EFECTIVO</t>
  </si>
  <si>
    <t xml:space="preserve">CICLO DE CONVERSIÓN (CCE = DSO + DIO - DPO)</t>
  </si>
  <si>
    <t xml:space="preserve">  III. ANÁLISIS DE FLUJO DE CAJA LIBRE (FCF)</t>
  </si>
  <si>
    <t xml:space="preserve">(-) CAPEX</t>
  </si>
  <si>
    <t xml:space="preserve">(-) Variación en Capital de Trabajo</t>
  </si>
  <si>
    <t xml:space="preserve">(-) Impuestos Pagados (Proxy)</t>
  </si>
  <si>
    <t xml:space="preserve">FLUJO DE CAJA LIBRE ESTIMADO (FCF)</t>
  </si>
  <si>
    <t xml:space="preserve">DASHBOARD EJECUTIVO — DIAGNÓSTICO FINANCIERO</t>
  </si>
  <si>
    <t xml:space="preserve">Todos los valores se actualizan automáticamente al ingresar datos en las hojas de Balance y Estado de Resultados</t>
  </si>
  <si>
    <t xml:space="preserve">MARGEN EBITDA</t>
  </si>
  <si>
    <t xml:space="preserve">MARGEN NETO</t>
  </si>
  <si>
    <t xml:space="preserve">Año Actual</t>
  </si>
  <si>
    <t xml:space="preserve">DEUDA NETA / EBITDA</t>
  </si>
  <si>
    <t xml:space="preserve">RAZÓN CIRCULANTE</t>
  </si>
  <si>
    <t xml:space="preserve">ROE</t>
  </si>
  <si>
    <t xml:space="preserve">CCE (DÍAS)</t>
  </si>
  <si>
    <t xml:space="preserve">COBERTURA INT. (ICR)</t>
  </si>
  <si>
    <t xml:space="preserve">Leverage</t>
  </si>
  <si>
    <t xml:space="preserve">Liquidez</t>
  </si>
  <si>
    <t xml:space="preserve">Rentabilidad</t>
  </si>
  <si>
    <t xml:space="preserve">Ciclo Efectivo</t>
  </si>
  <si>
    <t xml:space="preserve">Solvencia</t>
  </si>
  <si>
    <t xml:space="preserve">  RESUMEN DE TENDENCIAS — MÉTRICAS CLAVE</t>
  </si>
  <si>
    <t xml:space="preserve">MÉTRICA</t>
  </si>
  <si>
    <t xml:space="preserve">TENDENCIA</t>
  </si>
  <si>
    <t xml:space="preserve">SEMÁFORO</t>
  </si>
  <si>
    <t xml:space="preserve">EBIT</t>
  </si>
  <si>
    <t xml:space="preserve">Margen Bruto %</t>
  </si>
  <si>
    <t xml:space="preserve">Margen EBIT %</t>
  </si>
  <si>
    <t xml:space="preserve">Margen Neto %</t>
  </si>
  <si>
    <t xml:space="preserve">CCE (días)</t>
  </si>
  <si>
    <t xml:space="preserve">CAVEATS — LIMITACIONES DEL DIAGNÓSTICO FINANCIERO</t>
  </si>
  <si>
    <t xml:space="preserve">1. NATURALEZA DEL ANÁLISIS</t>
  </si>
  <si>
    <t xml:space="preserve">El presente diagnóstico se basa exclusivamente en la información financiera proporcionada por el cliente. No constituye una auditoría de estados financieros conforme a ninguna norma de auditoría generalmente aceptada (NAGAS, ISA, SAS). No se ha verificado la integridad ni exactitud de los datos fuente.</t>
  </si>
  <si>
    <t xml:space="preserve">2. LIMITACIONES DE RESPONSABILIDAD</t>
  </si>
  <si>
    <t xml:space="preserve">CRA Consultoría y los analistas responsables del presente diagnóstico no asumen responsabilidad alguna por decisiones de negocio, financieras o legales tomadas con base en este análisis, si la información suministrada por el cliente resulta inexacta, incompleta o fraudulenta.</t>
  </si>
  <si>
    <t xml:space="preserve">3. BENCHMARKING SECTORIAL</t>
  </si>
  <si>
    <t xml:space="preserve">Los rangos de referencia (benchmarks) utilizados para evaluar ratios provienen de fuentes públicas y bases de datos sectoriales disponibles a la fecha del análisis. Pueden diferir materialmente del desempeño real de la industria específica del cliente, su geografía o su escala de operaciones.</t>
  </si>
  <si>
    <t xml:space="preserve">4. PROYECCIONES Y ANÁLISIS DE SENSIBILIDAD</t>
  </si>
  <si>
    <t xml:space="preserve">Cualquier proyección o análisis de sensibilidad incluido en este diagnóstico se basa en supuestos razonables a la fecha de elaboración. Los resultados futuros reales pueden diferir materialmente de las proyecciones como consecuencia de eventos imprevistos, cambios regulatorios o macroeconómicos.</t>
  </si>
  <si>
    <t xml:space="preserve">5. CONFIDENCIALIDAD</t>
  </si>
  <si>
    <t xml:space="preserve">Este documento es de carácter estrictamente confidencial. Su reproducción, distribución o divulgación a terceros sin autorización expresa de CRA Consultoría está prohibida.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</si>
</sst>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\x"/>
    <numFmt numFmtId="168" formatCode="0.0\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277BD"/>
      <name val="Arial"/>
      <family val="0"/>
      <charset val="1"/>
    </font>
    <font>
      <i val="true"/>
      <sz val="9"/>
      <color rgb="FF42424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0277BD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0277B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558B2F"/>
      <name val="Arial"/>
      <family val="0"/>
      <charset val="1"/>
    </font>
    <font>
      <b val="true"/>
      <sz val="10"/>
      <color rgb="FF558B2F"/>
      <name val="Arial"/>
      <family val="0"/>
      <charset val="1"/>
    </font>
    <font>
      <sz val="11"/>
      <color rgb="FF424242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5E20"/>
        <bgColor rgb="FF424242"/>
      </patternFill>
    </fill>
    <fill>
      <patternFill patternType="solid">
        <fgColor rgb="FF558B2F"/>
        <bgColor rgb="FF808000"/>
      </patternFill>
    </fill>
    <fill>
      <patternFill patternType="solid">
        <fgColor rgb="FF0277BD"/>
        <bgColor rgb="FF008080"/>
      </patternFill>
    </fill>
    <fill>
      <patternFill patternType="solid">
        <fgColor rgb="FFF5F5F5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E0F7FA"/>
      </patternFill>
    </fill>
    <fill>
      <patternFill patternType="solid">
        <fgColor rgb="FFFFFFFF"/>
        <bgColor rgb="FFF8FFFE"/>
      </patternFill>
    </fill>
    <fill>
      <patternFill patternType="solid">
        <fgColor rgb="FFC8E6C9"/>
        <bgColor rgb="FFCCCCCC"/>
      </patternFill>
    </fill>
    <fill>
      <patternFill patternType="solid">
        <fgColor rgb="FFF8FFFE"/>
        <bgColor rgb="FFFFFFFF"/>
      </patternFill>
    </fill>
    <fill>
      <patternFill patternType="solid">
        <fgColor rgb="FFE3F2FD"/>
        <bgColor rgb="FFE0F7FA"/>
      </patternFill>
    </fill>
    <fill>
      <patternFill patternType="solid">
        <fgColor rgb="FFFFFDE7"/>
        <bgColor rgb="FFFAFAFA"/>
      </patternFill>
    </fill>
    <fill>
      <patternFill patternType="solid">
        <fgColor rgb="FFE0F7FA"/>
        <bgColor rgb="FFE3F2FD"/>
      </patternFill>
    </fill>
    <fill>
      <patternFill patternType="solid">
        <fgColor rgb="FFB3E5FC"/>
        <bgColor rgb="FFC8E6C9"/>
      </patternFill>
    </fill>
    <fill>
      <patternFill patternType="solid">
        <fgColor rgb="FF424242"/>
        <bgColor rgb="FF333300"/>
      </patternFill>
    </fill>
    <fill>
      <patternFill patternType="solid">
        <fgColor rgb="FFFAFAFA"/>
        <bgColor rgb="FFF8FF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7FA"/>
      <rgbColor rgb="FF660066"/>
      <rgbColor rgb="FFFF8080"/>
      <rgbColor rgb="FF0277BD"/>
      <rgbColor rgb="FFB3E5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E8F5E9"/>
      <rgbColor rgb="FFFAFAFA"/>
      <rgbColor rgb="FFF8FFFE"/>
      <rgbColor rgb="FFCC99FF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58B2F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B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12" hidden="false" customHeight="true" outlineLevel="0" collapsed="false"/>
    <row r="2" customFormat="false" ht="60" hidden="false" customHeight="true" outlineLevel="0" collapsed="false">
      <c r="B2" s="1" t="s">
        <v>0</v>
      </c>
      <c r="C2" s="1"/>
    </row>
    <row r="3" customFormat="false" ht="27.75" hidden="false" customHeight="true" outlineLevel="0" collapsed="false">
      <c r="B3" s="2" t="s">
        <v>1</v>
      </c>
      <c r="C3" s="2"/>
    </row>
    <row r="4" customFormat="false" ht="9.75" hidden="false" customHeight="true" outlineLevel="0" collapsed="false"/>
    <row r="5" customFormat="false" ht="21.75" hidden="false" customHeight="true" outlineLevel="0" collapsed="false">
      <c r="B5" s="3" t="s">
        <v>2</v>
      </c>
      <c r="C5" s="3"/>
    </row>
    <row r="6" customFormat="false" ht="21.75" hidden="false" customHeight="true" outlineLevel="0" collapsed="false">
      <c r="B6" s="4" t="s">
        <v>3</v>
      </c>
      <c r="C6" s="5" t="s">
        <v>4</v>
      </c>
    </row>
    <row r="7" customFormat="false" ht="21.75" hidden="false" customHeight="true" outlineLevel="0" collapsed="false">
      <c r="B7" s="4" t="s">
        <v>5</v>
      </c>
      <c r="C7" s="5" t="s">
        <v>6</v>
      </c>
    </row>
    <row r="8" customFormat="false" ht="21.75" hidden="false" customHeight="true" outlineLevel="0" collapsed="false">
      <c r="B8" s="4" t="s">
        <v>7</v>
      </c>
      <c r="C8" s="5" t="s">
        <v>8</v>
      </c>
    </row>
    <row r="9" customFormat="false" ht="21.75" hidden="false" customHeight="true" outlineLevel="0" collapsed="false">
      <c r="B9" s="4" t="s">
        <v>9</v>
      </c>
      <c r="C9" s="5" t="s">
        <v>10</v>
      </c>
    </row>
    <row r="10" customFormat="false" ht="21.75" hidden="false" customHeight="true" outlineLevel="0" collapsed="false">
      <c r="B10" s="4" t="s">
        <v>11</v>
      </c>
      <c r="C10" s="5" t="s">
        <v>12</v>
      </c>
    </row>
    <row r="11" customFormat="false" ht="21.75" hidden="false" customHeight="true" outlineLevel="0" collapsed="false">
      <c r="B11" s="4" t="s">
        <v>13</v>
      </c>
      <c r="C11" s="5" t="s">
        <v>12</v>
      </c>
    </row>
    <row r="12" customFormat="false" ht="9.75" hidden="false" customHeight="true" outlineLevel="0" collapsed="false"/>
    <row r="13" customFormat="false" ht="21.75" hidden="false" customHeight="true" outlineLevel="0" collapsed="false">
      <c r="B13" s="6" t="s">
        <v>14</v>
      </c>
      <c r="C13" s="7"/>
    </row>
    <row r="14" customFormat="false" ht="21.75" hidden="false" customHeight="true" outlineLevel="0" collapsed="false">
      <c r="B14" s="8" t="s">
        <v>15</v>
      </c>
      <c r="C14" s="9" t="s">
        <v>16</v>
      </c>
    </row>
    <row r="15" customFormat="false" ht="21.75" hidden="false" customHeight="true" outlineLevel="0" collapsed="false">
      <c r="B15" s="10" t="s">
        <v>17</v>
      </c>
      <c r="C15" s="11" t="s">
        <v>18</v>
      </c>
    </row>
    <row r="16" customFormat="false" ht="21.75" hidden="false" customHeight="true" outlineLevel="0" collapsed="false">
      <c r="B16" s="8" t="s">
        <v>19</v>
      </c>
      <c r="C16" s="9" t="s">
        <v>20</v>
      </c>
    </row>
    <row r="17" customFormat="false" ht="21.75" hidden="false" customHeight="true" outlineLevel="0" collapsed="false">
      <c r="B17" s="10" t="s">
        <v>21</v>
      </c>
      <c r="C17" s="11" t="s">
        <v>22</v>
      </c>
    </row>
    <row r="18" customFormat="false" ht="21.75" hidden="false" customHeight="true" outlineLevel="0" collapsed="false">
      <c r="B18" s="8" t="s">
        <v>23</v>
      </c>
      <c r="C18" s="9" t="s">
        <v>24</v>
      </c>
    </row>
    <row r="19" customFormat="false" ht="21.75" hidden="false" customHeight="true" outlineLevel="0" collapsed="false">
      <c r="B19" s="10" t="s">
        <v>25</v>
      </c>
      <c r="C19" s="11" t="s">
        <v>26</v>
      </c>
    </row>
    <row r="20" customFormat="false" ht="21.75" hidden="false" customHeight="true" outlineLevel="0" collapsed="false">
      <c r="B20" s="8" t="s">
        <v>27</v>
      </c>
      <c r="C20" s="9" t="s">
        <v>28</v>
      </c>
    </row>
  </sheetData>
  <mergeCells count="3">
    <mergeCell ref="B2:C2"/>
    <mergeCell ref="B3:C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B2F"/>
    <pageSetUpPr fitToPage="false"/>
  </sheetPr>
  <dimension ref="B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22"/>
  </cols>
  <sheetData>
    <row r="1" customFormat="false" ht="42" hidden="false" customHeight="true" outlineLevel="0" collapsed="false">
      <c r="B1" s="12" t="s">
        <v>29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</row>
    <row r="3" customFormat="false" ht="6" hidden="false" customHeight="true" outlineLevel="0" collapsed="false"/>
    <row r="4" customFormat="false" ht="21.75" hidden="false" customHeight="true" outlineLevel="0" collapsed="false">
      <c r="B4" s="14" t="s">
        <v>35</v>
      </c>
      <c r="C4" s="14"/>
      <c r="D4" s="14"/>
      <c r="E4" s="14"/>
      <c r="F4" s="14"/>
    </row>
    <row r="5" customFormat="false" ht="18" hidden="false" customHeight="true" outlineLevel="0" collapsed="false">
      <c r="B5" s="15" t="s">
        <v>36</v>
      </c>
      <c r="C5" s="16" t="n">
        <f aca="false">C13+C20</f>
        <v>0</v>
      </c>
      <c r="D5" s="16" t="n">
        <f aca="false">D13+D20</f>
        <v>0</v>
      </c>
      <c r="E5" s="16" t="n">
        <f aca="false">E13+E20</f>
        <v>0</v>
      </c>
      <c r="F5" s="17"/>
    </row>
    <row r="6" customFormat="false" ht="21.75" hidden="false" customHeight="true" outlineLevel="0" collapsed="false">
      <c r="B6" s="14" t="s">
        <v>37</v>
      </c>
      <c r="C6" s="14"/>
      <c r="D6" s="14"/>
      <c r="E6" s="14"/>
      <c r="F6" s="14"/>
    </row>
    <row r="7" customFormat="false" ht="18" hidden="false" customHeight="true" outlineLevel="0" collapsed="false">
      <c r="B7" s="11" t="s">
        <v>38</v>
      </c>
      <c r="C7" s="18"/>
      <c r="D7" s="18"/>
      <c r="E7" s="18"/>
      <c r="F7" s="17"/>
    </row>
    <row r="8" customFormat="false" ht="18" hidden="false" customHeight="true" outlineLevel="0" collapsed="false">
      <c r="B8" s="11" t="s">
        <v>39</v>
      </c>
      <c r="C8" s="18"/>
      <c r="D8" s="18"/>
      <c r="E8" s="18"/>
      <c r="F8" s="17"/>
    </row>
    <row r="9" customFormat="false" ht="18" hidden="false" customHeight="true" outlineLevel="0" collapsed="false">
      <c r="B9" s="11" t="s">
        <v>40</v>
      </c>
      <c r="C9" s="18"/>
      <c r="D9" s="18"/>
      <c r="E9" s="18"/>
      <c r="F9" s="17"/>
    </row>
    <row r="10" customFormat="false" ht="18" hidden="false" customHeight="true" outlineLevel="0" collapsed="false">
      <c r="B10" s="11" t="s">
        <v>41</v>
      </c>
      <c r="C10" s="18"/>
      <c r="D10" s="18"/>
      <c r="E10" s="18"/>
      <c r="F10" s="17"/>
    </row>
    <row r="11" customFormat="false" ht="18" hidden="false" customHeight="true" outlineLevel="0" collapsed="false">
      <c r="B11" s="11" t="s">
        <v>42</v>
      </c>
      <c r="C11" s="18"/>
      <c r="D11" s="18"/>
      <c r="E11" s="18"/>
      <c r="F11" s="17"/>
    </row>
    <row r="12" customFormat="false" ht="18" hidden="false" customHeight="true" outlineLevel="0" collapsed="false">
      <c r="B12" s="11" t="s">
        <v>43</v>
      </c>
      <c r="C12" s="18"/>
      <c r="D12" s="18"/>
      <c r="E12" s="18"/>
      <c r="F12" s="17"/>
    </row>
    <row r="13" customFormat="false" ht="18" hidden="false" customHeight="true" outlineLevel="0" collapsed="false">
      <c r="B13" s="19" t="s">
        <v>44</v>
      </c>
      <c r="C13" s="20" t="n">
        <f aca="false">SUM(C7:C12)</f>
        <v>0</v>
      </c>
      <c r="D13" s="20" t="n">
        <f aca="false">SUM(D7:D12)</f>
        <v>0</v>
      </c>
      <c r="E13" s="20" t="n">
        <f aca="false">SUM(E7:E12)</f>
        <v>0</v>
      </c>
      <c r="F13" s="17"/>
    </row>
    <row r="14" customFormat="false" ht="21.75" hidden="false" customHeight="true" outlineLevel="0" collapsed="false">
      <c r="B14" s="14" t="s">
        <v>45</v>
      </c>
      <c r="C14" s="14"/>
      <c r="D14" s="14"/>
      <c r="E14" s="14"/>
      <c r="F14" s="14"/>
    </row>
    <row r="15" customFormat="false" ht="18" hidden="false" customHeight="true" outlineLevel="0" collapsed="false">
      <c r="B15" s="11" t="s">
        <v>46</v>
      </c>
      <c r="C15" s="18"/>
      <c r="D15" s="18"/>
      <c r="E15" s="18"/>
      <c r="F15" s="17"/>
    </row>
    <row r="16" customFormat="false" ht="18" hidden="false" customHeight="true" outlineLevel="0" collapsed="false">
      <c r="B16" s="11" t="s">
        <v>47</v>
      </c>
      <c r="C16" s="18"/>
      <c r="D16" s="18"/>
      <c r="E16" s="18"/>
      <c r="F16" s="17"/>
    </row>
    <row r="17" customFormat="false" ht="18" hidden="false" customHeight="true" outlineLevel="0" collapsed="false">
      <c r="B17" s="11" t="s">
        <v>48</v>
      </c>
      <c r="C17" s="18"/>
      <c r="D17" s="18"/>
      <c r="E17" s="18"/>
      <c r="F17" s="17"/>
    </row>
    <row r="18" customFormat="false" ht="18" hidden="false" customHeight="true" outlineLevel="0" collapsed="false">
      <c r="B18" s="11" t="s">
        <v>49</v>
      </c>
      <c r="C18" s="18"/>
      <c r="D18" s="18"/>
      <c r="E18" s="18"/>
      <c r="F18" s="17"/>
    </row>
    <row r="19" customFormat="false" ht="18" hidden="false" customHeight="true" outlineLevel="0" collapsed="false">
      <c r="B19" s="11" t="s">
        <v>50</v>
      </c>
      <c r="C19" s="18"/>
      <c r="D19" s="18"/>
      <c r="E19" s="18"/>
      <c r="F19" s="17"/>
    </row>
    <row r="20" customFormat="false" ht="18" hidden="false" customHeight="true" outlineLevel="0" collapsed="false">
      <c r="B20" s="19" t="s">
        <v>51</v>
      </c>
      <c r="C20" s="20" t="n">
        <f aca="false">SUM(C15:C19)</f>
        <v>0</v>
      </c>
      <c r="D20" s="20" t="n">
        <f aca="false">SUM(D15:D19)</f>
        <v>0</v>
      </c>
      <c r="E20" s="20" t="n">
        <f aca="false">SUM(E15:E19)</f>
        <v>0</v>
      </c>
      <c r="F20" s="17"/>
    </row>
    <row r="21" customFormat="false" ht="6" hidden="false" customHeight="true" outlineLevel="0" collapsed="false"/>
    <row r="22" customFormat="false" ht="21.75" hidden="false" customHeight="true" outlineLevel="0" collapsed="false">
      <c r="B22" s="14" t="s">
        <v>52</v>
      </c>
      <c r="C22" s="14"/>
      <c r="D22" s="14"/>
      <c r="E22" s="14"/>
      <c r="F22" s="14"/>
    </row>
    <row r="23" customFormat="false" ht="18" hidden="false" customHeight="true" outlineLevel="0" collapsed="false">
      <c r="B23" s="15" t="s">
        <v>53</v>
      </c>
      <c r="C23" s="16" t="n">
        <f aca="false">C30+C36</f>
        <v>0</v>
      </c>
      <c r="D23" s="16" t="n">
        <f aca="false">D30+D36</f>
        <v>0</v>
      </c>
      <c r="E23" s="16" t="n">
        <f aca="false">E30+E36</f>
        <v>0</v>
      </c>
      <c r="F23" s="17"/>
    </row>
    <row r="24" customFormat="false" ht="21.75" hidden="false" customHeight="true" outlineLevel="0" collapsed="false">
      <c r="B24" s="14" t="s">
        <v>54</v>
      </c>
      <c r="C24" s="14"/>
      <c r="D24" s="14"/>
      <c r="E24" s="14"/>
      <c r="F24" s="14"/>
    </row>
    <row r="25" customFormat="false" ht="18" hidden="false" customHeight="true" outlineLevel="0" collapsed="false">
      <c r="B25" s="11" t="s">
        <v>55</v>
      </c>
      <c r="C25" s="18"/>
      <c r="D25" s="18"/>
      <c r="E25" s="18"/>
      <c r="F25" s="17"/>
    </row>
    <row r="26" customFormat="false" ht="18" hidden="false" customHeight="true" outlineLevel="0" collapsed="false">
      <c r="B26" s="11" t="s">
        <v>56</v>
      </c>
      <c r="C26" s="18"/>
      <c r="D26" s="18"/>
      <c r="E26" s="18"/>
      <c r="F26" s="17"/>
    </row>
    <row r="27" customFormat="false" ht="18" hidden="false" customHeight="true" outlineLevel="0" collapsed="false">
      <c r="B27" s="11" t="s">
        <v>57</v>
      </c>
      <c r="C27" s="18"/>
      <c r="D27" s="18"/>
      <c r="E27" s="18"/>
      <c r="F27" s="17"/>
    </row>
    <row r="28" customFormat="false" ht="18" hidden="false" customHeight="true" outlineLevel="0" collapsed="false">
      <c r="B28" s="11" t="s">
        <v>58</v>
      </c>
      <c r="C28" s="18"/>
      <c r="D28" s="18"/>
      <c r="E28" s="18"/>
      <c r="F28" s="17"/>
    </row>
    <row r="29" customFormat="false" ht="18" hidden="false" customHeight="true" outlineLevel="0" collapsed="false">
      <c r="B29" s="11" t="s">
        <v>59</v>
      </c>
      <c r="C29" s="18"/>
      <c r="D29" s="18"/>
      <c r="E29" s="18"/>
      <c r="F29" s="17"/>
    </row>
    <row r="30" customFormat="false" ht="18" hidden="false" customHeight="true" outlineLevel="0" collapsed="false">
      <c r="B30" s="19" t="s">
        <v>60</v>
      </c>
      <c r="C30" s="20" t="n">
        <f aca="false">SUM(C25:C29)</f>
        <v>0</v>
      </c>
      <c r="D30" s="20" t="n">
        <f aca="false">SUM(D25:D29)</f>
        <v>0</v>
      </c>
      <c r="E30" s="20" t="n">
        <f aca="false">SUM(E25:E29)</f>
        <v>0</v>
      </c>
      <c r="F30" s="17"/>
    </row>
    <row r="31" customFormat="false" ht="21.75" hidden="false" customHeight="true" outlineLevel="0" collapsed="false">
      <c r="B31" s="14" t="s">
        <v>61</v>
      </c>
      <c r="C31" s="14"/>
      <c r="D31" s="14"/>
      <c r="E31" s="14"/>
      <c r="F31" s="14"/>
    </row>
    <row r="32" customFormat="false" ht="18" hidden="false" customHeight="true" outlineLevel="0" collapsed="false">
      <c r="B32" s="11" t="s">
        <v>62</v>
      </c>
      <c r="C32" s="18"/>
      <c r="D32" s="18"/>
      <c r="E32" s="18"/>
      <c r="F32" s="17"/>
    </row>
    <row r="33" customFormat="false" ht="18" hidden="false" customHeight="true" outlineLevel="0" collapsed="false">
      <c r="B33" s="11" t="s">
        <v>63</v>
      </c>
      <c r="C33" s="18"/>
      <c r="D33" s="18"/>
      <c r="E33" s="18"/>
      <c r="F33" s="17"/>
    </row>
    <row r="34" customFormat="false" ht="18" hidden="false" customHeight="true" outlineLevel="0" collapsed="false">
      <c r="B34" s="11" t="s">
        <v>64</v>
      </c>
      <c r="C34" s="18"/>
      <c r="D34" s="18"/>
      <c r="E34" s="18"/>
      <c r="F34" s="17"/>
    </row>
    <row r="35" customFormat="false" ht="18" hidden="false" customHeight="true" outlineLevel="0" collapsed="false">
      <c r="B35" s="11" t="s">
        <v>65</v>
      </c>
      <c r="C35" s="18"/>
      <c r="D35" s="18"/>
      <c r="E35" s="18"/>
      <c r="F35" s="17"/>
    </row>
    <row r="36" customFormat="false" ht="18" hidden="false" customHeight="true" outlineLevel="0" collapsed="false">
      <c r="B36" s="19" t="s">
        <v>66</v>
      </c>
      <c r="C36" s="20" t="n">
        <f aca="false">SUM(C32:C35)</f>
        <v>0</v>
      </c>
      <c r="D36" s="20" t="n">
        <f aca="false">SUM(D32:D35)</f>
        <v>0</v>
      </c>
      <c r="E36" s="20" t="n">
        <f aca="false">SUM(E32:E35)</f>
        <v>0</v>
      </c>
      <c r="F36" s="17"/>
    </row>
    <row r="37" customFormat="false" ht="6" hidden="false" customHeight="true" outlineLevel="0" collapsed="false"/>
    <row r="38" customFormat="false" ht="21.75" hidden="false" customHeight="true" outlineLevel="0" collapsed="false">
      <c r="B38" s="14" t="s">
        <v>67</v>
      </c>
      <c r="C38" s="14"/>
      <c r="D38" s="14"/>
      <c r="E38" s="14"/>
      <c r="F38" s="14"/>
    </row>
    <row r="39" customFormat="false" ht="18" hidden="false" customHeight="true" outlineLevel="0" collapsed="false">
      <c r="B39" s="11" t="s">
        <v>68</v>
      </c>
      <c r="C39" s="18"/>
      <c r="D39" s="18"/>
      <c r="E39" s="18"/>
      <c r="F39" s="17"/>
    </row>
    <row r="40" customFormat="false" ht="18" hidden="false" customHeight="true" outlineLevel="0" collapsed="false">
      <c r="B40" s="11" t="s">
        <v>69</v>
      </c>
      <c r="C40" s="18"/>
      <c r="D40" s="18"/>
      <c r="E40" s="18"/>
      <c r="F40" s="17"/>
    </row>
    <row r="41" customFormat="false" ht="18" hidden="false" customHeight="true" outlineLevel="0" collapsed="false">
      <c r="B41" s="11" t="s">
        <v>70</v>
      </c>
      <c r="C41" s="18"/>
      <c r="D41" s="18"/>
      <c r="E41" s="18"/>
      <c r="F41" s="17"/>
    </row>
    <row r="42" customFormat="false" ht="18" hidden="false" customHeight="true" outlineLevel="0" collapsed="false">
      <c r="B42" s="11" t="s">
        <v>71</v>
      </c>
      <c r="C42" s="18"/>
      <c r="D42" s="18"/>
      <c r="E42" s="18"/>
      <c r="F42" s="17"/>
    </row>
    <row r="43" customFormat="false" ht="18" hidden="false" customHeight="true" outlineLevel="0" collapsed="false">
      <c r="B43" s="11" t="s">
        <v>72</v>
      </c>
      <c r="C43" s="18"/>
      <c r="D43" s="18"/>
      <c r="E43" s="18"/>
      <c r="F43" s="17"/>
    </row>
    <row r="44" customFormat="false" ht="18" hidden="false" customHeight="true" outlineLevel="0" collapsed="false">
      <c r="B44" s="15" t="s">
        <v>73</v>
      </c>
      <c r="C44" s="16" t="n">
        <f aca="false">SUM(C39:C43)</f>
        <v>0</v>
      </c>
      <c r="D44" s="16" t="n">
        <f aca="false">SUM(D39:D43)</f>
        <v>0</v>
      </c>
      <c r="E44" s="16" t="n">
        <f aca="false">SUM(E39:E43)</f>
        <v>0</v>
      </c>
      <c r="F44" s="17"/>
    </row>
    <row r="45" customFormat="false" ht="6" hidden="false" customHeight="true" outlineLevel="0" collapsed="false"/>
    <row r="46" customFormat="false" ht="21.75" hidden="false" customHeight="true" outlineLevel="0" collapsed="false">
      <c r="B46" s="21" t="s">
        <v>74</v>
      </c>
      <c r="C46" s="22" t="str">
        <f aca="false">IF(C5=C23+C44,"✓ CUADRA","✗ REVISAR")</f>
        <v>✓ CUADRA</v>
      </c>
      <c r="D46" s="22" t="str">
        <f aca="false">IF(D5=D23+D44,"✓ CUADRA","✗ REVISAR")</f>
        <v>✓ CUADRA</v>
      </c>
      <c r="E46" s="22" t="str">
        <f aca="false">IF(E5=E23+E44,"✓ CUADRA","✗ REVISAR")</f>
        <v>✓ CUADRA</v>
      </c>
    </row>
    <row r="48" customFormat="false" ht="18" hidden="false" customHeight="true" outlineLevel="0" collapsed="false">
      <c r="B48" s="23" t="s">
        <v>75</v>
      </c>
      <c r="C48" s="23"/>
      <c r="D48" s="23"/>
      <c r="E48" s="23"/>
      <c r="F48" s="23"/>
    </row>
  </sheetData>
  <mergeCells count="9">
    <mergeCell ref="B1:F1"/>
    <mergeCell ref="B4:F4"/>
    <mergeCell ref="B6:F6"/>
    <mergeCell ref="B14:F14"/>
    <mergeCell ref="B22:F22"/>
    <mergeCell ref="B24:F24"/>
    <mergeCell ref="B31:F31"/>
    <mergeCell ref="B38:F38"/>
    <mergeCell ref="B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B2F"/>
    <pageSetUpPr fitToPage="false"/>
  </sheetPr>
  <dimension ref="B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22"/>
  </cols>
  <sheetData>
    <row r="1" customFormat="false" ht="42" hidden="false" customHeight="true" outlineLevel="0" collapsed="false">
      <c r="B1" s="12" t="s">
        <v>76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</row>
    <row r="3" customFormat="false" ht="6" hidden="false" customHeight="true" outlineLevel="0" collapsed="false"/>
    <row r="4" customFormat="false" ht="21.75" hidden="false" customHeight="true" outlineLevel="0" collapsed="false">
      <c r="B4" s="14" t="s">
        <v>77</v>
      </c>
      <c r="C4" s="14"/>
      <c r="D4" s="14"/>
      <c r="E4" s="14"/>
      <c r="F4" s="14"/>
    </row>
    <row r="5" customFormat="false" ht="18" hidden="false" customHeight="true" outlineLevel="0" collapsed="false">
      <c r="B5" s="11" t="s">
        <v>78</v>
      </c>
      <c r="C5" s="18"/>
      <c r="D5" s="18"/>
      <c r="E5" s="18"/>
      <c r="F5" s="17"/>
    </row>
    <row r="6" customFormat="false" ht="18" hidden="false" customHeight="true" outlineLevel="0" collapsed="false">
      <c r="B6" s="11" t="s">
        <v>79</v>
      </c>
      <c r="C6" s="18"/>
      <c r="D6" s="18"/>
      <c r="E6" s="18"/>
      <c r="F6" s="17"/>
    </row>
    <row r="7" customFormat="false" ht="18" hidden="false" customHeight="true" outlineLevel="0" collapsed="false">
      <c r="B7" s="11" t="s">
        <v>80</v>
      </c>
      <c r="C7" s="18"/>
      <c r="D7" s="18"/>
      <c r="E7" s="18"/>
      <c r="F7" s="17"/>
    </row>
    <row r="8" customFormat="false" ht="18" hidden="false" customHeight="true" outlineLevel="0" collapsed="false">
      <c r="B8" s="15" t="s">
        <v>81</v>
      </c>
      <c r="C8" s="16" t="n">
        <f aca="false">SUM(C5:C7)</f>
        <v>0</v>
      </c>
      <c r="D8" s="16" t="n">
        <f aca="false">SUM(D5:D7)</f>
        <v>0</v>
      </c>
      <c r="E8" s="16" t="n">
        <f aca="false">SUM(E5:E7)</f>
        <v>0</v>
      </c>
      <c r="F8" s="17"/>
    </row>
    <row r="9" customFormat="false" ht="18" hidden="false" customHeight="true" outlineLevel="0" collapsed="false">
      <c r="B9" s="19" t="s">
        <v>82</v>
      </c>
      <c r="C9" s="24"/>
      <c r="D9" s="24"/>
      <c r="E9" s="24"/>
      <c r="F9" s="17"/>
    </row>
    <row r="10" customFormat="false" ht="18" hidden="false" customHeight="true" outlineLevel="0" collapsed="false">
      <c r="B10" s="15" t="s">
        <v>83</v>
      </c>
      <c r="C10" s="16" t="n">
        <f aca="false">C8-C9</f>
        <v>0</v>
      </c>
      <c r="D10" s="16" t="n">
        <f aca="false">D8-D9</f>
        <v>0</v>
      </c>
      <c r="E10" s="16" t="n">
        <f aca="false">E8-E9</f>
        <v>0</v>
      </c>
      <c r="F10" s="17"/>
    </row>
    <row r="11" customFormat="false" ht="18" hidden="false" customHeight="true" outlineLevel="0" collapsed="false">
      <c r="B11" s="11" t="s">
        <v>84</v>
      </c>
      <c r="C11" s="25" t="str">
        <f aca="false">IFERROR(C10/C8,"-")</f>
        <v>-</v>
      </c>
      <c r="D11" s="25" t="str">
        <f aca="false">IFERROR(D10/D8,"-")</f>
        <v>-</v>
      </c>
      <c r="E11" s="25" t="str">
        <f aca="false">IFERROR(E10/E8,"-")</f>
        <v>-</v>
      </c>
      <c r="F11" s="17"/>
    </row>
    <row r="12" customFormat="false" ht="6" hidden="false" customHeight="true" outlineLevel="0" collapsed="false"/>
    <row r="13" customFormat="false" ht="21.75" hidden="false" customHeight="true" outlineLevel="0" collapsed="false">
      <c r="B13" s="14" t="s">
        <v>85</v>
      </c>
      <c r="C13" s="14"/>
      <c r="D13" s="14"/>
      <c r="E13" s="14"/>
      <c r="F13" s="14"/>
    </row>
    <row r="14" customFormat="false" ht="18" hidden="false" customHeight="true" outlineLevel="0" collapsed="false">
      <c r="B14" s="11" t="s">
        <v>86</v>
      </c>
      <c r="C14" s="18"/>
      <c r="D14" s="18"/>
      <c r="E14" s="18"/>
      <c r="F14" s="17"/>
    </row>
    <row r="15" customFormat="false" ht="18" hidden="false" customHeight="true" outlineLevel="0" collapsed="false">
      <c r="B15" s="11" t="s">
        <v>87</v>
      </c>
      <c r="C15" s="18"/>
      <c r="D15" s="18"/>
      <c r="E15" s="18"/>
      <c r="F15" s="17"/>
    </row>
    <row r="16" customFormat="false" ht="18" hidden="false" customHeight="true" outlineLevel="0" collapsed="false">
      <c r="B16" s="11" t="s">
        <v>88</v>
      </c>
      <c r="C16" s="18"/>
      <c r="D16" s="18"/>
      <c r="E16" s="18"/>
      <c r="F16" s="17"/>
    </row>
    <row r="17" customFormat="false" ht="18" hidden="false" customHeight="true" outlineLevel="0" collapsed="false">
      <c r="B17" s="19" t="s">
        <v>89</v>
      </c>
      <c r="C17" s="20" t="n">
        <f aca="false">SUM(C14:C16)</f>
        <v>0</v>
      </c>
      <c r="D17" s="20" t="n">
        <f aca="false">SUM(D14:D16)</f>
        <v>0</v>
      </c>
      <c r="E17" s="20" t="n">
        <f aca="false">SUM(E14:E16)</f>
        <v>0</v>
      </c>
      <c r="F17" s="17"/>
    </row>
    <row r="18" customFormat="false" ht="18" hidden="false" customHeight="true" outlineLevel="0" collapsed="false">
      <c r="B18" s="15" t="s">
        <v>90</v>
      </c>
      <c r="C18" s="16" t="n">
        <f aca="false">C10-C17</f>
        <v>0</v>
      </c>
      <c r="D18" s="16" t="n">
        <f aca="false">D10-D17</f>
        <v>0</v>
      </c>
      <c r="E18" s="16" t="n">
        <f aca="false">E10-E17</f>
        <v>0</v>
      </c>
      <c r="F18" s="17"/>
    </row>
    <row r="19" customFormat="false" ht="18" hidden="false" customHeight="true" outlineLevel="0" collapsed="false">
      <c r="B19" s="11" t="s">
        <v>91</v>
      </c>
      <c r="C19" s="25" t="str">
        <f aca="false">IFERROR(C18/C8,"-")</f>
        <v>-</v>
      </c>
      <c r="D19" s="25" t="str">
        <f aca="false">IFERROR(D18/D8,"-")</f>
        <v>-</v>
      </c>
      <c r="E19" s="25" t="str">
        <f aca="false">IFERROR(E18/E8,"-")</f>
        <v>-</v>
      </c>
      <c r="F19" s="17"/>
    </row>
    <row r="20" customFormat="false" ht="6" hidden="false" customHeight="true" outlineLevel="0" collapsed="false"/>
    <row r="21" customFormat="false" ht="21.75" hidden="false" customHeight="true" outlineLevel="0" collapsed="false">
      <c r="B21" s="14" t="s">
        <v>92</v>
      </c>
      <c r="C21" s="14"/>
      <c r="D21" s="14"/>
      <c r="E21" s="14"/>
      <c r="F21" s="14"/>
    </row>
    <row r="22" customFormat="false" ht="18" hidden="false" customHeight="true" outlineLevel="0" collapsed="false">
      <c r="B22" s="11" t="s">
        <v>93</v>
      </c>
      <c r="C22" s="18"/>
      <c r="D22" s="18"/>
      <c r="E22" s="18"/>
      <c r="F22" s="17"/>
    </row>
    <row r="23" customFormat="false" ht="18" hidden="false" customHeight="true" outlineLevel="0" collapsed="false">
      <c r="B23" s="11" t="s">
        <v>94</v>
      </c>
      <c r="C23" s="18"/>
      <c r="D23" s="18"/>
      <c r="E23" s="18"/>
      <c r="F23" s="17"/>
    </row>
    <row r="24" customFormat="false" ht="18" hidden="false" customHeight="true" outlineLevel="0" collapsed="false">
      <c r="B24" s="11" t="s">
        <v>95</v>
      </c>
      <c r="C24" s="18"/>
      <c r="D24" s="18"/>
      <c r="E24" s="18"/>
      <c r="F24" s="17"/>
    </row>
    <row r="25" customFormat="false" ht="18" hidden="false" customHeight="true" outlineLevel="0" collapsed="false">
      <c r="B25" s="11" t="s">
        <v>96</v>
      </c>
      <c r="C25" s="18"/>
      <c r="D25" s="18"/>
      <c r="E25" s="18"/>
      <c r="F25" s="17"/>
    </row>
    <row r="26" customFormat="false" ht="18" hidden="false" customHeight="true" outlineLevel="0" collapsed="false">
      <c r="B26" s="19" t="s">
        <v>97</v>
      </c>
      <c r="C26" s="20" t="n">
        <f aca="false">-C22+C23+C24+C25</f>
        <v>0</v>
      </c>
      <c r="D26" s="20" t="n">
        <f aca="false">-D22+D23+D24+D25</f>
        <v>0</v>
      </c>
      <c r="E26" s="20" t="n">
        <f aca="false">-E22+E23+E24+E25</f>
        <v>0</v>
      </c>
      <c r="F26" s="17"/>
    </row>
    <row r="27" customFormat="false" ht="18" hidden="false" customHeight="true" outlineLevel="0" collapsed="false">
      <c r="B27" s="15" t="s">
        <v>98</v>
      </c>
      <c r="C27" s="16" t="n">
        <f aca="false">C18+C26</f>
        <v>0</v>
      </c>
      <c r="D27" s="16" t="n">
        <f aca="false">D18+D26</f>
        <v>0</v>
      </c>
      <c r="E27" s="16" t="n">
        <f aca="false">E18+E26</f>
        <v>0</v>
      </c>
      <c r="F27" s="17"/>
    </row>
    <row r="28" customFormat="false" ht="18" hidden="false" customHeight="true" outlineLevel="0" collapsed="false">
      <c r="B28" s="11" t="s">
        <v>99</v>
      </c>
      <c r="C28" s="18"/>
      <c r="D28" s="18"/>
      <c r="E28" s="18"/>
      <c r="F28" s="17"/>
    </row>
    <row r="29" customFormat="false" ht="18" hidden="false" customHeight="true" outlineLevel="0" collapsed="false">
      <c r="B29" s="11" t="s">
        <v>100</v>
      </c>
      <c r="C29" s="18"/>
      <c r="D29" s="18"/>
      <c r="E29" s="18"/>
      <c r="F29" s="17"/>
    </row>
    <row r="30" customFormat="false" ht="18" hidden="false" customHeight="true" outlineLevel="0" collapsed="false">
      <c r="B30" s="15" t="s">
        <v>101</v>
      </c>
      <c r="C30" s="16" t="n">
        <f aca="false">C27-C28-C29</f>
        <v>0</v>
      </c>
      <c r="D30" s="16" t="n">
        <f aca="false">D27-D28-D29</f>
        <v>0</v>
      </c>
      <c r="E30" s="16" t="n">
        <f aca="false">E27-E28-E29</f>
        <v>0</v>
      </c>
      <c r="F30" s="17"/>
    </row>
    <row r="31" customFormat="false" ht="18" hidden="false" customHeight="true" outlineLevel="0" collapsed="false">
      <c r="B31" s="11" t="s">
        <v>102</v>
      </c>
      <c r="C31" s="25" t="str">
        <f aca="false">IFERROR(C30/C8,"-")</f>
        <v>-</v>
      </c>
      <c r="D31" s="25" t="str">
        <f aca="false">IFERROR(D30/D8,"-")</f>
        <v>-</v>
      </c>
      <c r="E31" s="25" t="str">
        <f aca="false">IFERROR(E30/E8,"-")</f>
        <v>-</v>
      </c>
      <c r="F31" s="17"/>
    </row>
    <row r="32" customFormat="false" ht="6" hidden="false" customHeight="true" outlineLevel="0" collapsed="false"/>
    <row r="33" customFormat="false" ht="21.75" hidden="false" customHeight="true" outlineLevel="0" collapsed="false">
      <c r="B33" s="14" t="s">
        <v>103</v>
      </c>
      <c r="C33" s="14"/>
      <c r="D33" s="14"/>
      <c r="E33" s="14"/>
      <c r="F33" s="14"/>
    </row>
    <row r="34" customFormat="false" ht="18" hidden="false" customHeight="true" outlineLevel="0" collapsed="false">
      <c r="B34" s="11" t="s">
        <v>104</v>
      </c>
      <c r="C34" s="18"/>
      <c r="D34" s="18"/>
      <c r="E34" s="18"/>
      <c r="F34" s="17"/>
    </row>
    <row r="35" customFormat="false" ht="18" hidden="false" customHeight="true" outlineLevel="0" collapsed="false">
      <c r="B35" s="11" t="s">
        <v>105</v>
      </c>
      <c r="C35" s="18"/>
      <c r="D35" s="18"/>
      <c r="E35" s="18"/>
      <c r="F35" s="17"/>
    </row>
    <row r="36" customFormat="false" ht="18" hidden="false" customHeight="true" outlineLevel="0" collapsed="false">
      <c r="B36" s="11" t="s">
        <v>106</v>
      </c>
      <c r="C36" s="18"/>
      <c r="D36" s="18"/>
      <c r="E36" s="18"/>
      <c r="F36" s="17"/>
    </row>
    <row r="37" customFormat="false" ht="18" hidden="false" customHeight="true" outlineLevel="0" collapsed="false">
      <c r="B37" s="11" t="s">
        <v>107</v>
      </c>
      <c r="C37" s="18"/>
      <c r="D37" s="18"/>
      <c r="E37" s="18"/>
      <c r="F37" s="17"/>
    </row>
  </sheetData>
  <mergeCells count="5">
    <mergeCell ref="B1:F1"/>
    <mergeCell ref="B4:F4"/>
    <mergeCell ref="B13:F13"/>
    <mergeCell ref="B21:F21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B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4"/>
  </cols>
  <sheetData>
    <row r="1" customFormat="false" ht="42" hidden="false" customHeight="true" outlineLevel="0" collapsed="false">
      <c r="B1" s="12" t="s">
        <v>108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30</v>
      </c>
      <c r="C2" s="13" t="s">
        <v>31</v>
      </c>
      <c r="D2" s="13" t="s">
        <v>32</v>
      </c>
      <c r="E2" s="13" t="s">
        <v>33</v>
      </c>
      <c r="F2" s="26" t="s">
        <v>109</v>
      </c>
      <c r="G2" s="26" t="s">
        <v>110</v>
      </c>
      <c r="H2" s="26" t="s">
        <v>111</v>
      </c>
      <c r="I2" s="26" t="s">
        <v>112</v>
      </c>
    </row>
    <row r="3" customFormat="false" ht="6" hidden="false" customHeight="true" outlineLevel="0" collapsed="false"/>
    <row r="4" customFormat="false" ht="18" hidden="false" customHeight="true" outlineLevel="0" collapsed="false">
      <c r="B4" s="27" t="s">
        <v>113</v>
      </c>
      <c r="C4" s="20" t="n">
        <f aca="false">'2. Estado de Resultados'!C8</f>
        <v>0</v>
      </c>
      <c r="D4" s="20" t="n">
        <f aca="false">'2. Estado de Resultados'!D8</f>
        <v>0</v>
      </c>
      <c r="E4" s="20" t="n">
        <f aca="false">'2. Estado de Resultados'!E8</f>
        <v>0</v>
      </c>
      <c r="F4" s="28" t="n">
        <f aca="false">D4-C4</f>
        <v>0</v>
      </c>
      <c r="G4" s="29" t="str">
        <f aca="false">IFERROR((D4-C4)/ABS(C4),"-")</f>
        <v>-</v>
      </c>
      <c r="H4" s="30" t="n">
        <f aca="false">E4-D4</f>
        <v>0</v>
      </c>
      <c r="I4" s="31" t="str">
        <f aca="false">IFERROR((E4-D4)/ABS(D4),"-")</f>
        <v>-</v>
      </c>
    </row>
    <row r="5" customFormat="false" ht="18" hidden="false" customHeight="true" outlineLevel="0" collapsed="false">
      <c r="B5" s="32" t="s">
        <v>114</v>
      </c>
      <c r="C5" s="33" t="n">
        <f aca="false">'2. Estado de Resultados'!C10</f>
        <v>0</v>
      </c>
      <c r="D5" s="33" t="n">
        <f aca="false">'2. Estado de Resultados'!D10</f>
        <v>0</v>
      </c>
      <c r="E5" s="33" t="n">
        <f aca="false">'2. Estado de Resultados'!E10</f>
        <v>0</v>
      </c>
      <c r="F5" s="34" t="n">
        <f aca="false">D5-C5</f>
        <v>0</v>
      </c>
      <c r="G5" s="35" t="str">
        <f aca="false">IFERROR((D5-C5)/ABS(C5),"-")</f>
        <v>-</v>
      </c>
      <c r="H5" s="36" t="n">
        <f aca="false">E5-D5</f>
        <v>0</v>
      </c>
      <c r="I5" s="37" t="str">
        <f aca="false">IFERROR((E5-D5)/ABS(D5),"-")</f>
        <v>-</v>
      </c>
    </row>
    <row r="6" customFormat="false" ht="18" hidden="false" customHeight="true" outlineLevel="0" collapsed="false">
      <c r="B6" s="32" t="s">
        <v>115</v>
      </c>
      <c r="C6" s="33" t="n">
        <f aca="false">'2. Estado de Resultados'!C18</f>
        <v>0</v>
      </c>
      <c r="D6" s="33" t="n">
        <f aca="false">'2. Estado de Resultados'!D18</f>
        <v>0</v>
      </c>
      <c r="E6" s="33" t="n">
        <f aca="false">'2. Estado de Resultados'!E18</f>
        <v>0</v>
      </c>
      <c r="F6" s="34" t="n">
        <f aca="false">D6-C6</f>
        <v>0</v>
      </c>
      <c r="G6" s="35" t="str">
        <f aca="false">IFERROR((D6-C6)/ABS(C6),"-")</f>
        <v>-</v>
      </c>
      <c r="H6" s="36" t="n">
        <f aca="false">E6-D6</f>
        <v>0</v>
      </c>
      <c r="I6" s="37" t="str">
        <f aca="false">IFERROR((E6-D6)/ABS(D6),"-")</f>
        <v>-</v>
      </c>
    </row>
    <row r="7" customFormat="false" ht="18" hidden="false" customHeight="true" outlineLevel="0" collapsed="false">
      <c r="B7" s="32" t="s">
        <v>116</v>
      </c>
      <c r="C7" s="33" t="n">
        <f aca="false">'2. Estado de Resultados'!C30</f>
        <v>0</v>
      </c>
      <c r="D7" s="33" t="n">
        <f aca="false">'2. Estado de Resultados'!D30</f>
        <v>0</v>
      </c>
      <c r="E7" s="33" t="n">
        <f aca="false">'2. Estado de Resultados'!E30</f>
        <v>0</v>
      </c>
      <c r="F7" s="34" t="n">
        <f aca="false">D7-C7</f>
        <v>0</v>
      </c>
      <c r="G7" s="35" t="str">
        <f aca="false">IFERROR((D7-C7)/ABS(C7),"-")</f>
        <v>-</v>
      </c>
      <c r="H7" s="36" t="n">
        <f aca="false">E7-D7</f>
        <v>0</v>
      </c>
      <c r="I7" s="37" t="str">
        <f aca="false">IFERROR((E7-D7)/ABS(D7),"-")</f>
        <v>-</v>
      </c>
    </row>
    <row r="8" customFormat="false" ht="18" hidden="false" customHeight="true" outlineLevel="0" collapsed="false">
      <c r="B8" s="27" t="s">
        <v>36</v>
      </c>
      <c r="C8" s="20" t="n">
        <f aca="false">'1. Balance General'!C5</f>
        <v>0</v>
      </c>
      <c r="D8" s="20" t="n">
        <f aca="false">'1. Balance General'!D5</f>
        <v>0</v>
      </c>
      <c r="E8" s="20" t="n">
        <f aca="false">'1. Balance General'!E5</f>
        <v>0</v>
      </c>
      <c r="F8" s="28" t="n">
        <f aca="false">D8-C8</f>
        <v>0</v>
      </c>
      <c r="G8" s="29" t="str">
        <f aca="false">IFERROR((D8-C8)/ABS(C8),"-")</f>
        <v>-</v>
      </c>
      <c r="H8" s="30" t="n">
        <f aca="false">E8-D8</f>
        <v>0</v>
      </c>
      <c r="I8" s="31" t="str">
        <f aca="false">IFERROR((E8-D8)/ABS(D8),"-")</f>
        <v>-</v>
      </c>
    </row>
    <row r="9" customFormat="false" ht="18" hidden="false" customHeight="true" outlineLevel="0" collapsed="false">
      <c r="B9" s="32" t="s">
        <v>117</v>
      </c>
      <c r="C9" s="33" t="n">
        <f aca="false">'1. Balance General'!C13</f>
        <v>0</v>
      </c>
      <c r="D9" s="33" t="n">
        <f aca="false">'1. Balance General'!D13</f>
        <v>0</v>
      </c>
      <c r="E9" s="33" t="n">
        <f aca="false">'1. Balance General'!E13</f>
        <v>0</v>
      </c>
      <c r="F9" s="34" t="n">
        <f aca="false">D9-C9</f>
        <v>0</v>
      </c>
      <c r="G9" s="35" t="str">
        <f aca="false">IFERROR((D9-C9)/ABS(C9),"-")</f>
        <v>-</v>
      </c>
      <c r="H9" s="36" t="n">
        <f aca="false">E9-D9</f>
        <v>0</v>
      </c>
      <c r="I9" s="37" t="str">
        <f aca="false">IFERROR((E9-D9)/ABS(D9),"-")</f>
        <v>-</v>
      </c>
    </row>
    <row r="10" customFormat="false" ht="18" hidden="false" customHeight="true" outlineLevel="0" collapsed="false">
      <c r="B10" s="32" t="s">
        <v>118</v>
      </c>
      <c r="C10" s="33" t="n">
        <f aca="false">'1. Balance General'!C20</f>
        <v>0</v>
      </c>
      <c r="D10" s="33" t="n">
        <f aca="false">'1. Balance General'!D20</f>
        <v>0</v>
      </c>
      <c r="E10" s="33" t="n">
        <f aca="false">'1. Balance General'!E20</f>
        <v>0</v>
      </c>
      <c r="F10" s="34" t="n">
        <f aca="false">D10-C10</f>
        <v>0</v>
      </c>
      <c r="G10" s="35" t="str">
        <f aca="false">IFERROR((D10-C10)/ABS(C10),"-")</f>
        <v>-</v>
      </c>
      <c r="H10" s="36" t="n">
        <f aca="false">E10-D10</f>
        <v>0</v>
      </c>
      <c r="I10" s="37" t="str">
        <f aca="false">IFERROR((E10-D10)/ABS(D10),"-")</f>
        <v>-</v>
      </c>
    </row>
    <row r="11" customFormat="false" ht="18" hidden="false" customHeight="true" outlineLevel="0" collapsed="false">
      <c r="B11" s="27" t="s">
        <v>53</v>
      </c>
      <c r="C11" s="20" t="n">
        <f aca="false">'1. Balance General'!C23</f>
        <v>0</v>
      </c>
      <c r="D11" s="20" t="n">
        <f aca="false">'1. Balance General'!D23</f>
        <v>0</v>
      </c>
      <c r="E11" s="20" t="n">
        <f aca="false">'1. Balance General'!E23</f>
        <v>0</v>
      </c>
      <c r="F11" s="28" t="n">
        <f aca="false">D11-C11</f>
        <v>0</v>
      </c>
      <c r="G11" s="29" t="str">
        <f aca="false">IFERROR((D11-C11)/ABS(C11),"-")</f>
        <v>-</v>
      </c>
      <c r="H11" s="30" t="n">
        <f aca="false">E11-D11</f>
        <v>0</v>
      </c>
      <c r="I11" s="31" t="str">
        <f aca="false">IFERROR((E11-D11)/ABS(D11),"-")</f>
        <v>-</v>
      </c>
    </row>
    <row r="12" customFormat="false" ht="18" hidden="false" customHeight="true" outlineLevel="0" collapsed="false">
      <c r="B12" s="32" t="s">
        <v>119</v>
      </c>
      <c r="C12" s="33" t="n">
        <f aca="false">'1. Balance General'!C30</f>
        <v>0</v>
      </c>
      <c r="D12" s="33" t="n">
        <f aca="false">'1. Balance General'!D30</f>
        <v>0</v>
      </c>
      <c r="E12" s="33" t="n">
        <f aca="false">'1. Balance General'!E30</f>
        <v>0</v>
      </c>
      <c r="F12" s="34" t="n">
        <f aca="false">D12-C12</f>
        <v>0</v>
      </c>
      <c r="G12" s="35" t="str">
        <f aca="false">IFERROR((D12-C12)/ABS(C12),"-")</f>
        <v>-</v>
      </c>
      <c r="H12" s="36" t="n">
        <f aca="false">E12-D12</f>
        <v>0</v>
      </c>
      <c r="I12" s="37" t="str">
        <f aca="false">IFERROR((E12-D12)/ABS(D12),"-")</f>
        <v>-</v>
      </c>
    </row>
    <row r="13" customFormat="false" ht="18" hidden="false" customHeight="true" outlineLevel="0" collapsed="false">
      <c r="B13" s="32" t="s">
        <v>120</v>
      </c>
      <c r="C13" s="33" t="n">
        <f aca="false">'1. Balance General'!C36</f>
        <v>0</v>
      </c>
      <c r="D13" s="33" t="n">
        <f aca="false">'1. Balance General'!D36</f>
        <v>0</v>
      </c>
      <c r="E13" s="33" t="n">
        <f aca="false">'1. Balance General'!E36</f>
        <v>0</v>
      </c>
      <c r="F13" s="34" t="n">
        <f aca="false">D13-C13</f>
        <v>0</v>
      </c>
      <c r="G13" s="35" t="str">
        <f aca="false">IFERROR((D13-C13)/ABS(C13),"-")</f>
        <v>-</v>
      </c>
      <c r="H13" s="36" t="n">
        <f aca="false">E13-D13</f>
        <v>0</v>
      </c>
      <c r="I13" s="37" t="str">
        <f aca="false">IFERROR((E13-D13)/ABS(D13),"-")</f>
        <v>-</v>
      </c>
    </row>
    <row r="14" customFormat="false" ht="18" hidden="false" customHeight="true" outlineLevel="0" collapsed="false">
      <c r="B14" s="27" t="s">
        <v>121</v>
      </c>
      <c r="C14" s="20" t="n">
        <f aca="false">'1. Balance General'!C44</f>
        <v>0</v>
      </c>
      <c r="D14" s="20" t="n">
        <f aca="false">'1. Balance General'!D44</f>
        <v>0</v>
      </c>
      <c r="E14" s="20" t="n">
        <f aca="false">'1. Balance General'!E44</f>
        <v>0</v>
      </c>
      <c r="F14" s="28" t="n">
        <f aca="false">D14-C14</f>
        <v>0</v>
      </c>
      <c r="G14" s="29" t="str">
        <f aca="false">IFERROR((D14-C14)/ABS(C14),"-")</f>
        <v>-</v>
      </c>
      <c r="H14" s="30" t="n">
        <f aca="false">E14-D14</f>
        <v>0</v>
      </c>
      <c r="I14" s="31" t="str">
        <f aca="false">IFERROR((E14-D14)/ABS(D14),"-")</f>
        <v>-</v>
      </c>
    </row>
    <row r="15" customFormat="false" ht="18" hidden="false" customHeight="true" outlineLevel="0" collapsed="false">
      <c r="B15" s="38" t="s">
        <v>122</v>
      </c>
      <c r="C15" s="33" t="n">
        <f aca="false">'1. Balance General'!C7</f>
        <v>0</v>
      </c>
      <c r="D15" s="33" t="n">
        <f aca="false">'1. Balance General'!D7</f>
        <v>0</v>
      </c>
      <c r="E15" s="33" t="n">
        <f aca="false">'1. Balance General'!E7</f>
        <v>0</v>
      </c>
      <c r="F15" s="34" t="n">
        <f aca="false">D15-C15</f>
        <v>0</v>
      </c>
      <c r="G15" s="35" t="str">
        <f aca="false">IFERROR((D15-C15)/ABS(C15),"-")</f>
        <v>-</v>
      </c>
      <c r="H15" s="36" t="n">
        <f aca="false">E15-D15</f>
        <v>0</v>
      </c>
      <c r="I15" s="37" t="str">
        <f aca="false">IFERROR((E15-D15)/ABS(D15),"-")</f>
        <v>-</v>
      </c>
    </row>
    <row r="16" customFormat="false" ht="18" hidden="false" customHeight="true" outlineLevel="0" collapsed="false">
      <c r="B16" s="38" t="s">
        <v>123</v>
      </c>
      <c r="C16" s="33" t="n">
        <f aca="false">'1. Balance General'!C8</f>
        <v>0</v>
      </c>
      <c r="D16" s="33" t="n">
        <f aca="false">'1. Balance General'!D8</f>
        <v>0</v>
      </c>
      <c r="E16" s="33" t="n">
        <f aca="false">'1. Balance General'!E8</f>
        <v>0</v>
      </c>
      <c r="F16" s="34" t="n">
        <f aca="false">D16-C16</f>
        <v>0</v>
      </c>
      <c r="G16" s="35" t="str">
        <f aca="false">IFERROR((D16-C16)/ABS(C16),"-")</f>
        <v>-</v>
      </c>
      <c r="H16" s="36" t="n">
        <f aca="false">E16-D16</f>
        <v>0</v>
      </c>
      <c r="I16" s="37" t="str">
        <f aca="false">IFERROR((E16-D16)/ABS(D16),"-")</f>
        <v>-</v>
      </c>
    </row>
    <row r="17" customFormat="false" ht="18" hidden="false" customHeight="true" outlineLevel="0" collapsed="false">
      <c r="B17" s="38" t="s">
        <v>41</v>
      </c>
      <c r="C17" s="33" t="n">
        <f aca="false">'1. Balance General'!C10</f>
        <v>0</v>
      </c>
      <c r="D17" s="33" t="n">
        <f aca="false">'1. Balance General'!D10</f>
        <v>0</v>
      </c>
      <c r="E17" s="33" t="n">
        <f aca="false">'1. Balance General'!E10</f>
        <v>0</v>
      </c>
      <c r="F17" s="34" t="n">
        <f aca="false">D17-C17</f>
        <v>0</v>
      </c>
      <c r="G17" s="35" t="str">
        <f aca="false">IFERROR((D17-C17)/ABS(C17),"-")</f>
        <v>-</v>
      </c>
      <c r="H17" s="36" t="n">
        <f aca="false">E17-D17</f>
        <v>0</v>
      </c>
      <c r="I17" s="37" t="str">
        <f aca="false">IFERROR((E17-D17)/ABS(D17),"-")</f>
        <v>-</v>
      </c>
    </row>
    <row r="18" customFormat="false" ht="18" hidden="false" customHeight="true" outlineLevel="0" collapsed="false">
      <c r="B18" s="38" t="s">
        <v>124</v>
      </c>
      <c r="C18" s="33" t="n">
        <f aca="false">'1. Balance General'!C25</f>
        <v>0</v>
      </c>
      <c r="D18" s="33" t="n">
        <f aca="false">'1. Balance General'!D25</f>
        <v>0</v>
      </c>
      <c r="E18" s="33" t="n">
        <f aca="false">'1. Balance General'!E25</f>
        <v>0</v>
      </c>
      <c r="F18" s="34" t="n">
        <f aca="false">D18-C18</f>
        <v>0</v>
      </c>
      <c r="G18" s="35" t="str">
        <f aca="false">IFERROR((D18-C18)/ABS(C18),"-")</f>
        <v>-</v>
      </c>
      <c r="H18" s="36" t="n">
        <f aca="false">E18-D18</f>
        <v>0</v>
      </c>
      <c r="I18" s="37" t="str">
        <f aca="false">IFERROR((E18-D18)/ABS(D18),"-")</f>
        <v>-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B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  <col collapsed="false" customWidth="true" hidden="false" outlineLevel="0" max="9" min="9" style="0" width="10"/>
  </cols>
  <sheetData>
    <row r="1" customFormat="false" ht="42" hidden="false" customHeight="true" outlineLevel="0" collapsed="false">
      <c r="B1" s="12" t="s">
        <v>125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30</v>
      </c>
      <c r="C2" s="13" t="s">
        <v>31</v>
      </c>
      <c r="D2" s="13" t="s">
        <v>32</v>
      </c>
      <c r="E2" s="13" t="s">
        <v>33</v>
      </c>
      <c r="F2" s="39" t="s">
        <v>126</v>
      </c>
      <c r="G2" s="39" t="s">
        <v>127</v>
      </c>
      <c r="H2" s="39" t="s">
        <v>128</v>
      </c>
      <c r="I2" s="39" t="s">
        <v>129</v>
      </c>
    </row>
    <row r="3" customFormat="false" ht="6" hidden="false" customHeight="true" outlineLevel="0" collapsed="false"/>
    <row r="4" customFormat="false" ht="18" hidden="false" customHeight="true" outlineLevel="0" collapsed="false">
      <c r="B4" s="40" t="s">
        <v>130</v>
      </c>
      <c r="C4" s="40"/>
      <c r="D4" s="40"/>
      <c r="E4" s="40"/>
      <c r="F4" s="40"/>
      <c r="G4" s="40"/>
      <c r="H4" s="40"/>
      <c r="I4" s="40"/>
    </row>
    <row r="5" customFormat="false" ht="18" hidden="false" customHeight="true" outlineLevel="0" collapsed="false">
      <c r="B5" s="27" t="s">
        <v>131</v>
      </c>
      <c r="C5" s="20" t="n">
        <f aca="false">'2. Estado de Resultados'!C8</f>
        <v>0</v>
      </c>
      <c r="D5" s="20" t="n">
        <f aca="false">'2. Estado de Resultados'!D8</f>
        <v>0</v>
      </c>
      <c r="E5" s="20" t="n">
        <f aca="false">'2. Estado de Resultados'!E8</f>
        <v>0</v>
      </c>
      <c r="F5" s="41" t="str">
        <f aca="false">IFERROR(C5/C5,"-")</f>
        <v>-</v>
      </c>
      <c r="G5" s="41" t="str">
        <f aca="false">IFERROR(D5/D5,"-")</f>
        <v>-</v>
      </c>
      <c r="H5" s="41" t="str">
        <f aca="false">IFERROR(E5/E5,"-")</f>
        <v>-</v>
      </c>
      <c r="I5" s="42" t="s">
        <v>132</v>
      </c>
    </row>
    <row r="6" customFormat="false" ht="18" hidden="false" customHeight="true" outlineLevel="0" collapsed="false">
      <c r="B6" s="38" t="s">
        <v>133</v>
      </c>
      <c r="C6" s="33" t="n">
        <f aca="false">'2. Estado de Resultados'!C9</f>
        <v>0</v>
      </c>
      <c r="D6" s="33" t="n">
        <f aca="false">'2. Estado de Resultados'!D9</f>
        <v>0</v>
      </c>
      <c r="E6" s="33" t="n">
        <f aca="false">'2. Estado de Resultados'!E9</f>
        <v>0</v>
      </c>
      <c r="F6" s="35" t="str">
        <f aca="false">IFERROR(C6/C5,"-")</f>
        <v>-</v>
      </c>
      <c r="G6" s="35" t="str">
        <f aca="false">IFERROR(D6/D5,"-")</f>
        <v>-</v>
      </c>
      <c r="H6" s="35" t="str">
        <f aca="false">IFERROR(E6/E5,"-")</f>
        <v>-</v>
      </c>
      <c r="I6" s="42" t="s">
        <v>132</v>
      </c>
    </row>
    <row r="7" customFormat="false" ht="18" hidden="false" customHeight="true" outlineLevel="0" collapsed="false">
      <c r="B7" s="38" t="s">
        <v>134</v>
      </c>
      <c r="C7" s="33" t="n">
        <f aca="false">'2. Estado de Resultados'!C10</f>
        <v>0</v>
      </c>
      <c r="D7" s="33" t="n">
        <f aca="false">'2. Estado de Resultados'!D10</f>
        <v>0</v>
      </c>
      <c r="E7" s="33" t="n">
        <f aca="false">'2. Estado de Resultados'!E10</f>
        <v>0</v>
      </c>
      <c r="F7" s="35" t="str">
        <f aca="false">IFERROR(C7/C5,"-")</f>
        <v>-</v>
      </c>
      <c r="G7" s="35" t="str">
        <f aca="false">IFERROR(D7/D5,"-")</f>
        <v>-</v>
      </c>
      <c r="H7" s="35" t="str">
        <f aca="false">IFERROR(E7/E5,"-")</f>
        <v>-</v>
      </c>
      <c r="I7" s="42" t="s">
        <v>132</v>
      </c>
    </row>
    <row r="8" customFormat="false" ht="18" hidden="false" customHeight="true" outlineLevel="0" collapsed="false">
      <c r="B8" s="38" t="s">
        <v>135</v>
      </c>
      <c r="C8" s="33" t="n">
        <f aca="false">'2. Estado de Resultados'!C17</f>
        <v>0</v>
      </c>
      <c r="D8" s="33" t="n">
        <f aca="false">'2. Estado de Resultados'!D17</f>
        <v>0</v>
      </c>
      <c r="E8" s="33" t="n">
        <f aca="false">'2. Estado de Resultados'!E17</f>
        <v>0</v>
      </c>
      <c r="F8" s="35" t="str">
        <f aca="false">IFERROR(C8/C5,"-")</f>
        <v>-</v>
      </c>
      <c r="G8" s="35" t="str">
        <f aca="false">IFERROR(D8/D5,"-")</f>
        <v>-</v>
      </c>
      <c r="H8" s="35" t="str">
        <f aca="false">IFERROR(E8/E5,"-")</f>
        <v>-</v>
      </c>
      <c r="I8" s="42" t="s">
        <v>132</v>
      </c>
    </row>
    <row r="9" customFormat="false" ht="18" hidden="false" customHeight="true" outlineLevel="0" collapsed="false">
      <c r="B9" s="38" t="s">
        <v>136</v>
      </c>
      <c r="C9" s="33" t="n">
        <f aca="false">'2. Estado de Resultados'!C18</f>
        <v>0</v>
      </c>
      <c r="D9" s="33" t="n">
        <f aca="false">'2. Estado de Resultados'!D18</f>
        <v>0</v>
      </c>
      <c r="E9" s="33" t="n">
        <f aca="false">'2. Estado de Resultados'!E18</f>
        <v>0</v>
      </c>
      <c r="F9" s="35" t="str">
        <f aca="false">IFERROR(C9/C5,"-")</f>
        <v>-</v>
      </c>
      <c r="G9" s="35" t="str">
        <f aca="false">IFERROR(D9/D5,"-")</f>
        <v>-</v>
      </c>
      <c r="H9" s="35" t="str">
        <f aca="false">IFERROR(E9/E5,"-")</f>
        <v>-</v>
      </c>
      <c r="I9" s="42" t="s">
        <v>132</v>
      </c>
    </row>
    <row r="10" customFormat="false" ht="18" hidden="false" customHeight="true" outlineLevel="0" collapsed="false">
      <c r="B10" s="38" t="s">
        <v>137</v>
      </c>
      <c r="C10" s="33" t="n">
        <f aca="false">'2. Estado de Resultados'!C26</f>
        <v>0</v>
      </c>
      <c r="D10" s="33" t="n">
        <f aca="false">'2. Estado de Resultados'!D26</f>
        <v>0</v>
      </c>
      <c r="E10" s="33" t="n">
        <f aca="false">'2. Estado de Resultados'!E26</f>
        <v>0</v>
      </c>
      <c r="F10" s="35" t="str">
        <f aca="false">IFERROR(C10/C5,"-")</f>
        <v>-</v>
      </c>
      <c r="G10" s="35" t="str">
        <f aca="false">IFERROR(D10/D5,"-")</f>
        <v>-</v>
      </c>
      <c r="H10" s="35" t="str">
        <f aca="false">IFERROR(E10/E5,"-")</f>
        <v>-</v>
      </c>
      <c r="I10" s="42" t="s">
        <v>132</v>
      </c>
    </row>
    <row r="11" customFormat="false" ht="18" hidden="false" customHeight="true" outlineLevel="0" collapsed="false">
      <c r="B11" s="38" t="s">
        <v>138</v>
      </c>
      <c r="C11" s="33" t="n">
        <f aca="false">'2. Estado de Resultados'!C27</f>
        <v>0</v>
      </c>
      <c r="D11" s="33" t="n">
        <f aca="false">'2. Estado de Resultados'!D27</f>
        <v>0</v>
      </c>
      <c r="E11" s="33" t="n">
        <f aca="false">'2. Estado de Resultados'!E27</f>
        <v>0</v>
      </c>
      <c r="F11" s="35" t="str">
        <f aca="false">IFERROR(C11/C5,"-")</f>
        <v>-</v>
      </c>
      <c r="G11" s="35" t="str">
        <f aca="false">IFERROR(D11/D5,"-")</f>
        <v>-</v>
      </c>
      <c r="H11" s="35" t="str">
        <f aca="false">IFERROR(E11/E5,"-")</f>
        <v>-</v>
      </c>
      <c r="I11" s="42" t="s">
        <v>132</v>
      </c>
    </row>
    <row r="12" customFormat="false" ht="18" hidden="false" customHeight="true" outlineLevel="0" collapsed="false">
      <c r="B12" s="38" t="s">
        <v>139</v>
      </c>
      <c r="C12" s="33" t="n">
        <f aca="false">'2. Estado de Resultados'!C28+'2. Estado de Resultados'!C29</f>
        <v>0</v>
      </c>
      <c r="D12" s="33" t="n">
        <f aca="false">'2. Estado de Resultados'!D28+'2. Estado de Resultados'!D29</f>
        <v>0</v>
      </c>
      <c r="E12" s="33" t="n">
        <f aca="false">'2. Estado de Resultados'!E28+'2. Estado de Resultados'!E29</f>
        <v>0</v>
      </c>
      <c r="F12" s="35" t="str">
        <f aca="false">IFERROR(C12/C5,"-")</f>
        <v>-</v>
      </c>
      <c r="G12" s="35" t="str">
        <f aca="false">IFERROR(D12/D5,"-")</f>
        <v>-</v>
      </c>
      <c r="H12" s="35" t="str">
        <f aca="false">IFERROR(E12/E5,"-")</f>
        <v>-</v>
      </c>
      <c r="I12" s="42" t="s">
        <v>132</v>
      </c>
    </row>
    <row r="13" customFormat="false" ht="18" hidden="false" customHeight="true" outlineLevel="0" collapsed="false">
      <c r="B13" s="27" t="s">
        <v>140</v>
      </c>
      <c r="C13" s="20" t="n">
        <f aca="false">'2. Estado de Resultados'!C30</f>
        <v>0</v>
      </c>
      <c r="D13" s="20" t="n">
        <f aca="false">'2. Estado de Resultados'!D30</f>
        <v>0</v>
      </c>
      <c r="E13" s="20" t="n">
        <f aca="false">'2. Estado de Resultados'!E30</f>
        <v>0</v>
      </c>
      <c r="F13" s="41" t="str">
        <f aca="false">IFERROR(C13/C5,"-")</f>
        <v>-</v>
      </c>
      <c r="G13" s="41" t="str">
        <f aca="false">IFERROR(D13/D5,"-")</f>
        <v>-</v>
      </c>
      <c r="H13" s="41" t="str">
        <f aca="false">IFERROR(E13/E5,"-")</f>
        <v>-</v>
      </c>
      <c r="I13" s="42" t="s">
        <v>132</v>
      </c>
    </row>
    <row r="14" customFormat="false" ht="18" hidden="false" customHeight="true" outlineLevel="0" collapsed="false"/>
    <row r="15" customFormat="false" ht="18" hidden="false" customHeight="true" outlineLevel="0" collapsed="false">
      <c r="B15" s="40" t="s">
        <v>141</v>
      </c>
      <c r="C15" s="40"/>
      <c r="D15" s="40"/>
      <c r="E15" s="40"/>
      <c r="F15" s="40"/>
      <c r="G15" s="40"/>
      <c r="H15" s="40"/>
      <c r="I15" s="40"/>
    </row>
    <row r="16" customFormat="false" ht="18" hidden="false" customHeight="true" outlineLevel="0" collapsed="false">
      <c r="B16" s="38" t="s">
        <v>142</v>
      </c>
      <c r="C16" s="33" t="n">
        <f aca="false">'1. Balance General'!C13</f>
        <v>0</v>
      </c>
      <c r="D16" s="33" t="n">
        <f aca="false">'1. Balance General'!D13</f>
        <v>0</v>
      </c>
      <c r="E16" s="33" t="n">
        <f aca="false">'1. Balance General'!E13</f>
        <v>0</v>
      </c>
      <c r="F16" s="35" t="str">
        <f aca="false">IFERROR(C16/'1. Balance General'!C5,"-")</f>
        <v>-</v>
      </c>
      <c r="G16" s="35" t="str">
        <f aca="false">IFERROR(D16/'1. Balance General'!D5,"-")</f>
        <v>-</v>
      </c>
      <c r="H16" s="35" t="str">
        <f aca="false">IFERROR(E16/'1. Balance General'!E5,"-")</f>
        <v>-</v>
      </c>
      <c r="I16" s="42" t="s">
        <v>143</v>
      </c>
    </row>
    <row r="17" customFormat="false" ht="18" hidden="false" customHeight="true" outlineLevel="0" collapsed="false">
      <c r="B17" s="38" t="s">
        <v>144</v>
      </c>
      <c r="C17" s="33" t="n">
        <f aca="false">'1. Balance General'!C20</f>
        <v>0</v>
      </c>
      <c r="D17" s="33" t="n">
        <f aca="false">'1. Balance General'!D20</f>
        <v>0</v>
      </c>
      <c r="E17" s="33" t="n">
        <f aca="false">'1. Balance General'!E20</f>
        <v>0</v>
      </c>
      <c r="F17" s="35" t="str">
        <f aca="false">IFERROR(C17/'1. Balance General'!C5,"-")</f>
        <v>-</v>
      </c>
      <c r="G17" s="35" t="str">
        <f aca="false">IFERROR(D17/'1. Balance General'!D5,"-")</f>
        <v>-</v>
      </c>
      <c r="H17" s="35" t="str">
        <f aca="false">IFERROR(E17/'1. Balance General'!E5,"-")</f>
        <v>-</v>
      </c>
      <c r="I17" s="42" t="s">
        <v>143</v>
      </c>
    </row>
    <row r="18" customFormat="false" ht="18" hidden="false" customHeight="true" outlineLevel="0" collapsed="false">
      <c r="B18" s="38" t="s">
        <v>145</v>
      </c>
      <c r="C18" s="33" t="n">
        <f aca="false">'1. Balance General'!C30</f>
        <v>0</v>
      </c>
      <c r="D18" s="33" t="n">
        <f aca="false">'1. Balance General'!D30</f>
        <v>0</v>
      </c>
      <c r="E18" s="33" t="n">
        <f aca="false">'1. Balance General'!E30</f>
        <v>0</v>
      </c>
      <c r="F18" s="35" t="str">
        <f aca="false">IFERROR(C18/'1. Balance General'!C5,"-")</f>
        <v>-</v>
      </c>
      <c r="G18" s="35" t="str">
        <f aca="false">IFERROR(D18/'1. Balance General'!D5,"-")</f>
        <v>-</v>
      </c>
      <c r="H18" s="35" t="str">
        <f aca="false">IFERROR(E18/'1. Balance General'!E5,"-")</f>
        <v>-</v>
      </c>
      <c r="I18" s="42" t="s">
        <v>143</v>
      </c>
    </row>
    <row r="19" customFormat="false" ht="18" hidden="false" customHeight="true" outlineLevel="0" collapsed="false">
      <c r="B19" s="38" t="s">
        <v>146</v>
      </c>
      <c r="C19" s="33" t="n">
        <f aca="false">'1. Balance General'!C36</f>
        <v>0</v>
      </c>
      <c r="D19" s="33" t="n">
        <f aca="false">'1. Balance General'!D36</f>
        <v>0</v>
      </c>
      <c r="E19" s="33" t="n">
        <f aca="false">'1. Balance General'!E36</f>
        <v>0</v>
      </c>
      <c r="F19" s="35" t="str">
        <f aca="false">IFERROR(C19/'1. Balance General'!C5,"-")</f>
        <v>-</v>
      </c>
      <c r="G19" s="35" t="str">
        <f aca="false">IFERROR(D19/'1. Balance General'!D5,"-")</f>
        <v>-</v>
      </c>
      <c r="H19" s="35" t="str">
        <f aca="false">IFERROR(E19/'1. Balance General'!E5,"-")</f>
        <v>-</v>
      </c>
      <c r="I19" s="42" t="s">
        <v>143</v>
      </c>
    </row>
    <row r="20" customFormat="false" ht="18" hidden="false" customHeight="true" outlineLevel="0" collapsed="false">
      <c r="B20" s="27" t="s">
        <v>147</v>
      </c>
      <c r="C20" s="20" t="n">
        <f aca="false">'1. Balance General'!C44</f>
        <v>0</v>
      </c>
      <c r="D20" s="20" t="n">
        <f aca="false">'1. Balance General'!D44</f>
        <v>0</v>
      </c>
      <c r="E20" s="20" t="n">
        <f aca="false">'1. Balance General'!E44</f>
        <v>0</v>
      </c>
      <c r="F20" s="41" t="str">
        <f aca="false">IFERROR(C20/'1. Balance General'!C5,"-")</f>
        <v>-</v>
      </c>
      <c r="G20" s="41" t="str">
        <f aca="false">IFERROR(D20/'1. Balance General'!D5,"-")</f>
        <v>-</v>
      </c>
      <c r="H20" s="41" t="str">
        <f aca="false">IFERROR(E20/'1. Balance General'!E5,"-")</f>
        <v>-</v>
      </c>
      <c r="I20" s="42" t="s">
        <v>143</v>
      </c>
    </row>
  </sheetData>
  <mergeCells count="3">
    <mergeCell ref="B1:F1"/>
    <mergeCell ref="B4:I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B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8" min="7" style="0" width="20"/>
  </cols>
  <sheetData>
    <row r="1" customFormat="false" ht="42" hidden="false" customHeight="true" outlineLevel="0" collapsed="false">
      <c r="B1" s="12" t="s">
        <v>148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149</v>
      </c>
      <c r="C2" s="13" t="s">
        <v>150</v>
      </c>
      <c r="D2" s="13" t="s">
        <v>31</v>
      </c>
      <c r="E2" s="13" t="s">
        <v>32</v>
      </c>
      <c r="F2" s="13" t="s">
        <v>33</v>
      </c>
      <c r="G2" s="13" t="s">
        <v>151</v>
      </c>
      <c r="H2" s="13" t="s">
        <v>152</v>
      </c>
    </row>
    <row r="3" customFormat="false" ht="6" hidden="false" customHeight="true" outlineLevel="0" collapsed="false"/>
    <row r="4" customFormat="false" ht="21.75" hidden="false" customHeight="true" outlineLevel="0" collapsed="false">
      <c r="B4" s="43" t="s">
        <v>153</v>
      </c>
      <c r="C4" s="43"/>
      <c r="D4" s="43"/>
      <c r="E4" s="43"/>
      <c r="F4" s="43"/>
      <c r="G4" s="43"/>
      <c r="H4" s="43"/>
    </row>
    <row r="5" customFormat="false" ht="19.5" hidden="false" customHeight="true" outlineLevel="0" collapsed="false">
      <c r="B5" s="44" t="s">
        <v>154</v>
      </c>
      <c r="C5" s="45" t="s">
        <v>155</v>
      </c>
      <c r="D5" s="46" t="str">
        <f aca="false">IFERROR('1. Balance General'!C13/'1. Balance General'!C30,"-")</f>
        <v>-</v>
      </c>
      <c r="E5" s="46" t="str">
        <f aca="false">IFERROR('1. Balance General'!D13/'1. Balance General'!D30,"-")</f>
        <v>-</v>
      </c>
      <c r="F5" s="46" t="str">
        <f aca="false">IFERROR('1. Balance General'!E13/'1. Balance General'!E30,"-")</f>
        <v>-</v>
      </c>
      <c r="G5" s="47" t="s">
        <v>156</v>
      </c>
      <c r="H5" s="48" t="s">
        <v>157</v>
      </c>
    </row>
    <row r="6" customFormat="false" ht="19.5" hidden="false" customHeight="true" outlineLevel="0" collapsed="false">
      <c r="B6" s="44" t="s">
        <v>158</v>
      </c>
      <c r="C6" s="45" t="s">
        <v>159</v>
      </c>
      <c r="D6" s="46" t="str">
        <f aca="false">IFERROR(('1. Balance General'!C13-'1. Balance General'!C10)/'1. Balance General'!C30,"-")</f>
        <v>-</v>
      </c>
      <c r="E6" s="46" t="str">
        <f aca="false">IFERROR(('1. Balance General'!D13-'1. Balance General'!D10)/'1. Balance General'!D30,"-")</f>
        <v>-</v>
      </c>
      <c r="F6" s="46" t="str">
        <f aca="false">IFERROR(('1. Balance General'!E13-'1. Balance General'!E10)/'1. Balance General'!E30,"-")</f>
        <v>-</v>
      </c>
      <c r="G6" s="47" t="s">
        <v>160</v>
      </c>
      <c r="H6" s="48" t="s">
        <v>161</v>
      </c>
    </row>
    <row r="7" customFormat="false" ht="19.5" hidden="false" customHeight="true" outlineLevel="0" collapsed="false">
      <c r="B7" s="44" t="s">
        <v>162</v>
      </c>
      <c r="C7" s="45" t="s">
        <v>163</v>
      </c>
      <c r="D7" s="46" t="str">
        <f aca="false">IFERROR('1. Balance General'!C7/'1. Balance General'!C30,"-")</f>
        <v>-</v>
      </c>
      <c r="E7" s="46" t="str">
        <f aca="false">IFERROR('1. Balance General'!D7/'1. Balance General'!D30,"-")</f>
        <v>-</v>
      </c>
      <c r="F7" s="46" t="str">
        <f aca="false">IFERROR('1. Balance General'!E7/'1. Balance General'!E30,"-")</f>
        <v>-</v>
      </c>
      <c r="G7" s="47" t="s">
        <v>164</v>
      </c>
      <c r="H7" s="48" t="s">
        <v>165</v>
      </c>
    </row>
    <row r="8" customFormat="false" ht="19.5" hidden="false" customHeight="true" outlineLevel="0" collapsed="false">
      <c r="B8" s="44" t="s">
        <v>166</v>
      </c>
      <c r="C8" s="45" t="s">
        <v>167</v>
      </c>
      <c r="D8" s="34" t="n">
        <f aca="false">'1. Balance General'!C13-'1. Balance General'!C30</f>
        <v>0</v>
      </c>
      <c r="E8" s="34" t="n">
        <f aca="false">'1. Balance General'!D13-'1. Balance General'!D30</f>
        <v>0</v>
      </c>
      <c r="F8" s="34" t="n">
        <f aca="false">'1. Balance General'!E13-'1. Balance General'!E30</f>
        <v>0</v>
      </c>
      <c r="G8" s="47" t="s">
        <v>168</v>
      </c>
      <c r="H8" s="48" t="s">
        <v>169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43" t="s">
        <v>170</v>
      </c>
      <c r="C10" s="43"/>
      <c r="D10" s="43"/>
      <c r="E10" s="43"/>
      <c r="F10" s="43"/>
      <c r="G10" s="43"/>
      <c r="H10" s="43"/>
    </row>
    <row r="11" customFormat="false" ht="19.5" hidden="false" customHeight="true" outlineLevel="0" collapsed="false">
      <c r="B11" s="44" t="s">
        <v>171</v>
      </c>
      <c r="C11" s="45" t="s">
        <v>172</v>
      </c>
      <c r="D11" s="46" t="str">
        <f aca="false">IFERROR('1. Balance General'!C23/'1. Balance General'!C44,"-")</f>
        <v>-</v>
      </c>
      <c r="E11" s="46" t="str">
        <f aca="false">IFERROR('1. Balance General'!D23/'1. Balance General'!D44,"-")</f>
        <v>-</v>
      </c>
      <c r="F11" s="46" t="str">
        <f aca="false">IFERROR('1. Balance General'!E23/'1. Balance General'!E44,"-")</f>
        <v>-</v>
      </c>
      <c r="G11" s="47" t="s">
        <v>173</v>
      </c>
      <c r="H11" s="48" t="s">
        <v>174</v>
      </c>
    </row>
    <row r="12" customFormat="false" ht="19.5" hidden="false" customHeight="true" outlineLevel="0" collapsed="false">
      <c r="B12" s="44" t="s">
        <v>175</v>
      </c>
      <c r="C12" s="45" t="s">
        <v>176</v>
      </c>
      <c r="D12" s="46" t="str">
        <f aca="false">IFERROR(('1. Balance General'!C26+'1. Balance General'!C32-'1. Balance General'!C7)/('2. Estado de Resultados'!C18+'2. Estado de Resultados'!C34+'2. Estado de Resultados'!C35),"-")</f>
        <v>-</v>
      </c>
      <c r="E12" s="46" t="str">
        <f aca="false">IFERROR(('1. Balance General'!D26+'1. Balance General'!D32-'1. Balance General'!D7)/('2. Estado de Resultados'!D18+'2. Estado de Resultados'!D34+'2. Estado de Resultados'!D35),"-")</f>
        <v>-</v>
      </c>
      <c r="F12" s="46" t="str">
        <f aca="false">IFERROR(('1. Balance General'!E26+'1. Balance General'!E32-'1. Balance General'!E7)/('2. Estado de Resultados'!E18+'2. Estado de Resultados'!E34+'2. Estado de Resultados'!E35),"-")</f>
        <v>-</v>
      </c>
      <c r="G12" s="47" t="s">
        <v>177</v>
      </c>
      <c r="H12" s="48" t="s">
        <v>178</v>
      </c>
    </row>
    <row r="13" customFormat="false" ht="19.5" hidden="false" customHeight="true" outlineLevel="0" collapsed="false">
      <c r="B13" s="44" t="s">
        <v>179</v>
      </c>
      <c r="C13" s="45" t="s">
        <v>180</v>
      </c>
      <c r="D13" s="46" t="str">
        <f aca="false">IFERROR('2. Estado de Resultados'!C18/'2. Estado de Resultados'!C22,"-")</f>
        <v>-</v>
      </c>
      <c r="E13" s="46" t="str">
        <f aca="false">IFERROR('2. Estado de Resultados'!D18/'2. Estado de Resultados'!D22,"-")</f>
        <v>-</v>
      </c>
      <c r="F13" s="46" t="str">
        <f aca="false">IFERROR('2. Estado de Resultados'!E18/'2. Estado de Resultados'!E22,"-")</f>
        <v>-</v>
      </c>
      <c r="G13" s="47" t="s">
        <v>181</v>
      </c>
      <c r="H13" s="48" t="s">
        <v>182</v>
      </c>
    </row>
    <row r="14" customFormat="false" ht="19.5" hidden="false" customHeight="true" outlineLevel="0" collapsed="false">
      <c r="B14" s="44" t="s">
        <v>183</v>
      </c>
      <c r="C14" s="45" t="s">
        <v>184</v>
      </c>
      <c r="D14" s="46" t="str">
        <f aca="false">IFERROR('1. Balance General'!C23/'1. Balance General'!C5,"-")</f>
        <v>-</v>
      </c>
      <c r="E14" s="46" t="str">
        <f aca="false">IFERROR('1. Balance General'!D23/'1. Balance General'!D5,"-")</f>
        <v>-</v>
      </c>
      <c r="F14" s="46" t="str">
        <f aca="false">IFERROR('1. Balance General'!E23/'1. Balance General'!E5,"-")</f>
        <v>-</v>
      </c>
      <c r="G14" s="47" t="s">
        <v>185</v>
      </c>
      <c r="H14" s="48" t="s">
        <v>186</v>
      </c>
    </row>
    <row r="15" customFormat="false" ht="6" hidden="false" customHeight="true" outlineLevel="0" collapsed="false"/>
    <row r="16" customFormat="false" ht="21.75" hidden="false" customHeight="true" outlineLevel="0" collapsed="false">
      <c r="B16" s="43" t="s">
        <v>187</v>
      </c>
      <c r="C16" s="43"/>
      <c r="D16" s="43"/>
      <c r="E16" s="43"/>
      <c r="F16" s="43"/>
      <c r="G16" s="43"/>
      <c r="H16" s="43"/>
    </row>
    <row r="17" customFormat="false" ht="19.5" hidden="false" customHeight="true" outlineLevel="0" collapsed="false">
      <c r="B17" s="44" t="s">
        <v>188</v>
      </c>
      <c r="C17" s="45" t="s">
        <v>189</v>
      </c>
      <c r="D17" s="46" t="str">
        <f aca="false">IFERROR('2. Estado de Resultados'!C8/'1. Balance General'!C8,"-")</f>
        <v>-</v>
      </c>
      <c r="E17" s="46" t="str">
        <f aca="false">IFERROR('2. Estado de Resultados'!D8/'1. Balance General'!D8,"-")</f>
        <v>-</v>
      </c>
      <c r="F17" s="46" t="str">
        <f aca="false">IFERROR('2. Estado de Resultados'!E8/'1. Balance General'!E8,"-")</f>
        <v>-</v>
      </c>
      <c r="G17" s="47" t="s">
        <v>190</v>
      </c>
      <c r="H17" s="48" t="s">
        <v>191</v>
      </c>
    </row>
    <row r="18" customFormat="false" ht="19.5" hidden="false" customHeight="true" outlineLevel="0" collapsed="false">
      <c r="B18" s="44" t="s">
        <v>192</v>
      </c>
      <c r="C18" s="45" t="s">
        <v>193</v>
      </c>
      <c r="D18" s="46" t="str">
        <f aca="false">IFERROR('1. Balance General'!C8/('2. Estado de Resultados'!C8/365),"-")</f>
        <v>-</v>
      </c>
      <c r="E18" s="46" t="str">
        <f aca="false">IFERROR('1. Balance General'!D8/('2. Estado de Resultados'!D8/365),"-")</f>
        <v>-</v>
      </c>
      <c r="F18" s="46" t="str">
        <f aca="false">IFERROR('1. Balance General'!E8/('2. Estado de Resultados'!E8/365),"-")</f>
        <v>-</v>
      </c>
      <c r="G18" s="47" t="s">
        <v>194</v>
      </c>
      <c r="H18" s="48" t="s">
        <v>195</v>
      </c>
    </row>
    <row r="19" customFormat="false" ht="19.5" hidden="false" customHeight="true" outlineLevel="0" collapsed="false">
      <c r="B19" s="44" t="s">
        <v>196</v>
      </c>
      <c r="C19" s="45" t="s">
        <v>197</v>
      </c>
      <c r="D19" s="46" t="str">
        <f aca="false">IFERROR('1. Balance General'!C10/('2. Estado de Resultados'!C9/365),"-")</f>
        <v>-</v>
      </c>
      <c r="E19" s="46" t="str">
        <f aca="false">IFERROR('1. Balance General'!D10/('2. Estado de Resultados'!D9/365),"-")</f>
        <v>-</v>
      </c>
      <c r="F19" s="46" t="str">
        <f aca="false">IFERROR('1. Balance General'!E10/('2. Estado de Resultados'!E9/365),"-")</f>
        <v>-</v>
      </c>
      <c r="G19" s="47" t="s">
        <v>190</v>
      </c>
      <c r="H19" s="48" t="s">
        <v>198</v>
      </c>
    </row>
    <row r="20" customFormat="false" ht="19.5" hidden="false" customHeight="true" outlineLevel="0" collapsed="false">
      <c r="B20" s="44" t="s">
        <v>199</v>
      </c>
      <c r="C20" s="45" t="s">
        <v>200</v>
      </c>
      <c r="D20" s="46" t="str">
        <f aca="false">IFERROR('1. Balance General'!C25/('2. Estado de Resultados'!C9/365),"-")</f>
        <v>-</v>
      </c>
      <c r="E20" s="46" t="str">
        <f aca="false">IFERROR('1. Balance General'!D25/('2. Estado de Resultados'!D9/365),"-")</f>
        <v>-</v>
      </c>
      <c r="F20" s="46" t="str">
        <f aca="false">IFERROR('1. Balance General'!E25/('2. Estado de Resultados'!E9/365),"-")</f>
        <v>-</v>
      </c>
      <c r="G20" s="47" t="s">
        <v>194</v>
      </c>
      <c r="H20" s="48" t="s">
        <v>201</v>
      </c>
    </row>
    <row r="21" customFormat="false" ht="19.5" hidden="false" customHeight="true" outlineLevel="0" collapsed="false">
      <c r="B21" s="44" t="s">
        <v>202</v>
      </c>
      <c r="C21" s="45" t="s">
        <v>203</v>
      </c>
      <c r="D21" s="46" t="str">
        <f aca="false">IFERROR('2. Estado de Resultados'!C8/'1. Balance General'!C5,"-")</f>
        <v>-</v>
      </c>
      <c r="E21" s="46" t="str">
        <f aca="false">IFERROR('2. Estado de Resultados'!D8/'1. Balance General'!D5,"-")</f>
        <v>-</v>
      </c>
      <c r="F21" s="46" t="str">
        <f aca="false">IFERROR('2. Estado de Resultados'!E8/'1. Balance General'!E5,"-")</f>
        <v>-</v>
      </c>
      <c r="G21" s="47" t="s">
        <v>160</v>
      </c>
      <c r="H21" s="48" t="s">
        <v>204</v>
      </c>
    </row>
    <row r="22" customFormat="false" ht="6" hidden="false" customHeight="true" outlineLevel="0" collapsed="false"/>
    <row r="23" customFormat="false" ht="21.75" hidden="false" customHeight="true" outlineLevel="0" collapsed="false">
      <c r="B23" s="43" t="s">
        <v>205</v>
      </c>
      <c r="C23" s="43"/>
      <c r="D23" s="43"/>
      <c r="E23" s="43"/>
      <c r="F23" s="43"/>
      <c r="G23" s="43"/>
      <c r="H23" s="43"/>
    </row>
    <row r="24" customFormat="false" ht="19.5" hidden="false" customHeight="true" outlineLevel="0" collapsed="false">
      <c r="B24" s="44" t="s">
        <v>206</v>
      </c>
      <c r="C24" s="45" t="s">
        <v>207</v>
      </c>
      <c r="D24" s="35" t="str">
        <f aca="false">IFERROR('2. Estado de Resultados'!C10/'2. Estado de Resultados'!C8,"-")</f>
        <v>-</v>
      </c>
      <c r="E24" s="35" t="str">
        <f aca="false">IFERROR('2. Estado de Resultados'!D10/'2. Estado de Resultados'!D8,"-")</f>
        <v>-</v>
      </c>
      <c r="F24" s="35" t="str">
        <f aca="false">IFERROR('2. Estado de Resultados'!E10/'2. Estado de Resultados'!E8,"-")</f>
        <v>-</v>
      </c>
      <c r="G24" s="47" t="s">
        <v>190</v>
      </c>
      <c r="H24" s="48" t="s">
        <v>208</v>
      </c>
    </row>
    <row r="25" customFormat="false" ht="19.5" hidden="false" customHeight="true" outlineLevel="0" collapsed="false">
      <c r="B25" s="44" t="s">
        <v>209</v>
      </c>
      <c r="C25" s="45" t="s">
        <v>210</v>
      </c>
      <c r="D25" s="35" t="str">
        <f aca="false">IFERROR('2. Estado de Resultados'!C18/'2. Estado de Resultados'!C8,"-")</f>
        <v>-</v>
      </c>
      <c r="E25" s="35" t="str">
        <f aca="false">IFERROR('2. Estado de Resultados'!D18/'2. Estado de Resultados'!D8,"-")</f>
        <v>-</v>
      </c>
      <c r="F25" s="35" t="str">
        <f aca="false">IFERROR('2. Estado de Resultados'!E18/'2. Estado de Resultados'!E8,"-")</f>
        <v>-</v>
      </c>
      <c r="G25" s="47" t="s">
        <v>190</v>
      </c>
      <c r="H25" s="48" t="s">
        <v>211</v>
      </c>
    </row>
    <row r="26" customFormat="false" ht="19.5" hidden="false" customHeight="true" outlineLevel="0" collapsed="false">
      <c r="B26" s="44" t="s">
        <v>212</v>
      </c>
      <c r="C26" s="45" t="s">
        <v>213</v>
      </c>
      <c r="D26" s="35" t="str">
        <f aca="false">IFERROR('2. Estado de Resultados'!C30/'2. Estado de Resultados'!C8,"-")</f>
        <v>-</v>
      </c>
      <c r="E26" s="35" t="str">
        <f aca="false">IFERROR('2. Estado de Resultados'!D30/'2. Estado de Resultados'!D8,"-")</f>
        <v>-</v>
      </c>
      <c r="F26" s="35" t="str">
        <f aca="false">IFERROR('2. Estado de Resultados'!E30/'2. Estado de Resultados'!E8,"-")</f>
        <v>-</v>
      </c>
      <c r="G26" s="47" t="s">
        <v>190</v>
      </c>
      <c r="H26" s="48" t="s">
        <v>214</v>
      </c>
    </row>
    <row r="27" customFormat="false" ht="19.5" hidden="false" customHeight="true" outlineLevel="0" collapsed="false">
      <c r="B27" s="44" t="s">
        <v>215</v>
      </c>
      <c r="C27" s="45" t="s">
        <v>216</v>
      </c>
      <c r="D27" s="35" t="str">
        <f aca="false">IFERROR('2. Estado de Resultados'!C30/'1. Balance General'!C5,"-")</f>
        <v>-</v>
      </c>
      <c r="E27" s="35" t="str">
        <f aca="false">IFERROR('2. Estado de Resultados'!D30/'1. Balance General'!D5,"-")</f>
        <v>-</v>
      </c>
      <c r="F27" s="35" t="str">
        <f aca="false">IFERROR('2. Estado de Resultados'!E30/'1. Balance General'!E5,"-")</f>
        <v>-</v>
      </c>
      <c r="G27" s="47" t="s">
        <v>217</v>
      </c>
      <c r="H27" s="48" t="s">
        <v>218</v>
      </c>
    </row>
    <row r="28" customFormat="false" ht="19.5" hidden="false" customHeight="true" outlineLevel="0" collapsed="false">
      <c r="B28" s="44" t="s">
        <v>219</v>
      </c>
      <c r="C28" s="45" t="s">
        <v>220</v>
      </c>
      <c r="D28" s="35" t="str">
        <f aca="false">IFERROR('2. Estado de Resultados'!C30/'1. Balance General'!C44,"-")</f>
        <v>-</v>
      </c>
      <c r="E28" s="35" t="str">
        <f aca="false">IFERROR('2. Estado de Resultados'!D30/'1. Balance General'!D44,"-")</f>
        <v>-</v>
      </c>
      <c r="F28" s="35" t="str">
        <f aca="false">IFERROR('2. Estado de Resultados'!E30/'1. Balance General'!E44,"-")</f>
        <v>-</v>
      </c>
      <c r="G28" s="47" t="s">
        <v>221</v>
      </c>
      <c r="H28" s="48" t="s">
        <v>222</v>
      </c>
    </row>
    <row r="29" customFormat="false" ht="19.5" hidden="false" customHeight="true" outlineLevel="0" collapsed="false">
      <c r="B29" s="44" t="s">
        <v>223</v>
      </c>
      <c r="C29" s="45" t="s">
        <v>224</v>
      </c>
      <c r="D29" s="35" t="str">
        <f aca="false">IFERROR('2. Estado de Resultados'!C18/('1. Balance General'!C5-'1. Balance General'!C30),"-")</f>
        <v>-</v>
      </c>
      <c r="E29" s="35" t="str">
        <f aca="false">IFERROR('2. Estado de Resultados'!D18/('1. Balance General'!D5-'1. Balance General'!D30),"-")</f>
        <v>-</v>
      </c>
      <c r="F29" s="35" t="str">
        <f aca="false">IFERROR('2. Estado de Resultados'!E18/('1. Balance General'!E5-'1. Balance General'!E30),"-")</f>
        <v>-</v>
      </c>
      <c r="G29" s="47" t="s">
        <v>225</v>
      </c>
      <c r="H29" s="48" t="s">
        <v>226</v>
      </c>
    </row>
  </sheetData>
  <mergeCells count="5">
    <mergeCell ref="B1:F1"/>
    <mergeCell ref="B4:H4"/>
    <mergeCell ref="B10:H10"/>
    <mergeCell ref="B16:H16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22"/>
  </cols>
  <sheetData>
    <row r="1" customFormat="false" ht="42" hidden="false" customHeight="true" outlineLevel="0" collapsed="false">
      <c r="B1" s="12" t="s">
        <v>227</v>
      </c>
      <c r="C1" s="12"/>
      <c r="D1" s="12"/>
      <c r="E1" s="12"/>
      <c r="F1" s="12"/>
    </row>
    <row r="2" customFormat="false" ht="30" hidden="false" customHeight="true" outlineLevel="0" collapsed="false">
      <c r="B2" s="13" t="s">
        <v>30</v>
      </c>
      <c r="C2" s="13" t="s">
        <v>31</v>
      </c>
      <c r="D2" s="13" t="s">
        <v>32</v>
      </c>
      <c r="E2" s="13" t="s">
        <v>33</v>
      </c>
      <c r="F2" s="13" t="s">
        <v>228</v>
      </c>
    </row>
    <row r="3" customFormat="false" ht="6" hidden="false" customHeight="true" outlineLevel="0" collapsed="false"/>
    <row r="4" customFormat="false" ht="21.75" hidden="false" customHeight="true" outlineLevel="0" collapsed="false">
      <c r="B4" s="43" t="s">
        <v>229</v>
      </c>
      <c r="C4" s="43"/>
      <c r="D4" s="43"/>
      <c r="E4" s="43"/>
      <c r="F4" s="43"/>
    </row>
    <row r="5" customFormat="false" ht="18" hidden="false" customHeight="true" outlineLevel="0" collapsed="false">
      <c r="B5" s="38" t="s">
        <v>230</v>
      </c>
      <c r="C5" s="33" t="n">
        <f aca="false">'2. Estado de Resultados'!C30</f>
        <v>0</v>
      </c>
      <c r="D5" s="33" t="n">
        <f aca="false">'2. Estado de Resultados'!D30</f>
        <v>0</v>
      </c>
      <c r="F5" s="49"/>
    </row>
    <row r="6" customFormat="false" ht="18" hidden="false" customHeight="true" outlineLevel="0" collapsed="false">
      <c r="B6" s="38" t="s">
        <v>231</v>
      </c>
      <c r="C6" s="33" t="n">
        <f aca="false">'2. Estado de Resultados'!C28+'2. Estado de Resultados'!C29</f>
        <v>0</v>
      </c>
      <c r="D6" s="33" t="n">
        <f aca="false">'2. Estado de Resultados'!D28+'2. Estado de Resultados'!D29</f>
        <v>0</v>
      </c>
      <c r="F6" s="49"/>
    </row>
    <row r="7" customFormat="false" ht="18" hidden="false" customHeight="true" outlineLevel="0" collapsed="false">
      <c r="B7" s="38" t="s">
        <v>232</v>
      </c>
      <c r="C7" s="33" t="n">
        <f aca="false">'2. Estado de Resultados'!C22-'2. Estado de Resultados'!C23</f>
        <v>0</v>
      </c>
      <c r="D7" s="33" t="n">
        <f aca="false">'2. Estado de Resultados'!D22-'2. Estado de Resultados'!D23</f>
        <v>0</v>
      </c>
      <c r="F7" s="49"/>
    </row>
    <row r="8" customFormat="false" ht="18" hidden="false" customHeight="true" outlineLevel="0" collapsed="false">
      <c r="B8" s="38" t="s">
        <v>233</v>
      </c>
      <c r="C8" s="33" t="n">
        <f aca="false">'2. Estado de Resultados'!C34+'2. Estado de Resultados'!C35</f>
        <v>0</v>
      </c>
      <c r="D8" s="33" t="n">
        <f aca="false">'2. Estado de Resultados'!D34+'2. Estado de Resultados'!D35</f>
        <v>0</v>
      </c>
      <c r="F8" s="49"/>
    </row>
    <row r="9" customFormat="false" ht="21.75" hidden="false" customHeight="true" outlineLevel="0" collapsed="false">
      <c r="B9" s="27" t="s">
        <v>234</v>
      </c>
      <c r="C9" s="16" t="n">
        <f aca="false">C5+C6+C7+C8</f>
        <v>0</v>
      </c>
      <c r="D9" s="16" t="n">
        <f aca="false">D5+D6+D7+D8</f>
        <v>0</v>
      </c>
      <c r="E9" s="16" t="n">
        <f aca="false">'2. Estado de Resultados'!E30+'2. Estado de Resultados'!E28+'2. Estado de Resultados'!E29+'2. Estado de Resultados'!E22-'2. Estado de Resultados'!E23+'2. Estado de Resultados'!E34+'2. Estado de Resultados'!E35</f>
        <v>0</v>
      </c>
      <c r="F9" s="49"/>
    </row>
    <row r="10" customFormat="false" ht="18" hidden="false" customHeight="true" outlineLevel="0" collapsed="false">
      <c r="B10" s="38" t="s">
        <v>235</v>
      </c>
      <c r="C10" s="35" t="str">
        <f aca="false">IFERROR(C9/'2. Estado de Resultados'!C8,"-")</f>
        <v>-</v>
      </c>
      <c r="D10" s="35" t="str">
        <f aca="false">IFERROR(D9/'2. Estado de Resultados'!D8,"-")</f>
        <v>-</v>
      </c>
      <c r="E10" s="35" t="str">
        <f aca="false">IFERROR(E9/'2. Estado de Resultados'!E8,"-")</f>
        <v>-</v>
      </c>
      <c r="F10" s="49"/>
    </row>
    <row r="11" customFormat="false" ht="18" hidden="false" customHeight="true" outlineLevel="0" collapsed="false">
      <c r="B11" s="38" t="s">
        <v>236</v>
      </c>
      <c r="C11" s="34" t="n">
        <f aca="false">IFERROR(C9-'2. Estado de Resultados'!C36,"-")</f>
        <v>0</v>
      </c>
      <c r="D11" s="34" t="n">
        <f aca="false">IFERROR(D9-'2. Estado de Resultados'!D36,"-")</f>
        <v>0</v>
      </c>
      <c r="E11" s="34" t="n">
        <f aca="false">IFERROR(E9-'2. Estado de Resultados'!E36,"-")</f>
        <v>0</v>
      </c>
      <c r="F11" s="49"/>
    </row>
    <row r="12" customFormat="false" ht="18" hidden="false" customHeight="true" outlineLevel="0" collapsed="false"/>
    <row r="13" customFormat="false" ht="21.75" hidden="false" customHeight="true" outlineLevel="0" collapsed="false">
      <c r="B13" s="43" t="s">
        <v>237</v>
      </c>
      <c r="C13" s="43"/>
      <c r="D13" s="43"/>
      <c r="E13" s="43"/>
      <c r="F13" s="43"/>
    </row>
    <row r="14" customFormat="false" ht="18" hidden="false" customHeight="true" outlineLevel="0" collapsed="false">
      <c r="B14" s="38" t="s">
        <v>192</v>
      </c>
      <c r="C14" s="50" t="n">
        <f aca="false">IFERROR('1. Balance General'!C8/('2. Estado de Resultados'!C8/365),0)</f>
        <v>0</v>
      </c>
      <c r="D14" s="50" t="n">
        <f aca="false">IFERROR('1. Balance General'!D8/('2. Estado de Resultados'!D8/365),0)</f>
        <v>0</v>
      </c>
      <c r="E14" s="50" t="n">
        <f aca="false">IFERROR('1. Balance General'!E8/('2. Estado de Resultados'!E8/365),0)</f>
        <v>0</v>
      </c>
      <c r="F14" s="49"/>
    </row>
    <row r="15" customFormat="false" ht="18" hidden="false" customHeight="true" outlineLevel="0" collapsed="false">
      <c r="B15" s="38" t="s">
        <v>196</v>
      </c>
      <c r="C15" s="50" t="n">
        <f aca="false">IFERROR('1. Balance General'!C10/('2. Estado de Resultados'!C9/365),0)</f>
        <v>0</v>
      </c>
      <c r="D15" s="50" t="n">
        <f aca="false">IFERROR('1. Balance General'!D10/('2. Estado de Resultados'!D9/365),0)</f>
        <v>0</v>
      </c>
      <c r="E15" s="50" t="n">
        <f aca="false">IFERROR('1. Balance General'!E10/('2. Estado de Resultados'!E9/365),0)</f>
        <v>0</v>
      </c>
      <c r="F15" s="49"/>
    </row>
    <row r="16" customFormat="false" ht="18" hidden="false" customHeight="true" outlineLevel="0" collapsed="false">
      <c r="B16" s="38" t="s">
        <v>199</v>
      </c>
      <c r="C16" s="50" t="n">
        <f aca="false">IFERROR('1. Balance General'!C25/('2. Estado de Resultados'!C9/365),0)</f>
        <v>0</v>
      </c>
      <c r="D16" s="50" t="n">
        <f aca="false">IFERROR('1. Balance General'!D25/('2. Estado de Resultados'!D9/365),0)</f>
        <v>0</v>
      </c>
      <c r="E16" s="50" t="n">
        <f aca="false">IFERROR('1. Balance General'!E25/('2. Estado de Resultados'!E9/365),0)</f>
        <v>0</v>
      </c>
      <c r="F16" s="49"/>
    </row>
    <row r="17" customFormat="false" ht="21.75" hidden="false" customHeight="true" outlineLevel="0" collapsed="false">
      <c r="B17" s="27" t="s">
        <v>238</v>
      </c>
      <c r="C17" s="51" t="n">
        <f aca="false">C14+C15-C16</f>
        <v>0</v>
      </c>
      <c r="D17" s="51" t="n">
        <f aca="false">D14+D15-D16</f>
        <v>0</v>
      </c>
      <c r="E17" s="51" t="n">
        <f aca="false">E14+E15-E16</f>
        <v>0</v>
      </c>
      <c r="F17" s="49"/>
    </row>
    <row r="18" customFormat="false" ht="18" hidden="false" customHeight="true" outlineLevel="0" collapsed="false"/>
    <row r="19" customFormat="false" ht="21.75" hidden="false" customHeight="true" outlineLevel="0" collapsed="false">
      <c r="B19" s="43" t="s">
        <v>239</v>
      </c>
      <c r="C19" s="43"/>
      <c r="D19" s="43"/>
      <c r="E19" s="43"/>
      <c r="F19" s="43"/>
    </row>
    <row r="20" customFormat="false" ht="18" hidden="false" customHeight="true" outlineLevel="0" collapsed="false">
      <c r="B20" s="38" t="s">
        <v>234</v>
      </c>
      <c r="C20" s="33" t="n">
        <f aca="false">C9</f>
        <v>0</v>
      </c>
      <c r="D20" s="33" t="n">
        <f aca="false">D9</f>
        <v>0</v>
      </c>
      <c r="E20" s="52" t="n">
        <f aca="false">E9</f>
        <v>0</v>
      </c>
      <c r="F20" s="49"/>
    </row>
    <row r="21" customFormat="false" ht="18" hidden="false" customHeight="true" outlineLevel="0" collapsed="false">
      <c r="B21" s="38" t="s">
        <v>240</v>
      </c>
      <c r="C21" s="33" t="n">
        <f aca="false">'2. Estado de Resultados'!C36</f>
        <v>0</v>
      </c>
      <c r="D21" s="33" t="n">
        <f aca="false">'2. Estado de Resultados'!D36</f>
        <v>0</v>
      </c>
      <c r="E21" s="52" t="n">
        <f aca="false">'2. Estado de Resultados'!E36</f>
        <v>0</v>
      </c>
      <c r="F21" s="49"/>
    </row>
    <row r="22" customFormat="false" ht="18" hidden="false" customHeight="true" outlineLevel="0" collapsed="false">
      <c r="B22" s="38" t="s">
        <v>241</v>
      </c>
      <c r="C22" s="33" t="n">
        <f aca="false">('1. Balance General'!C13-'1. Balance General'!C30)-('1. Balance General'!D13-'1. Balance General'!D30)</f>
        <v>0</v>
      </c>
      <c r="D22" s="33" t="n">
        <f aca="false">('1. Balance General'!D13-'1. Balance General'!D30)-('1. Balance General'!E13-'1. Balance General'!E30)</f>
        <v>0</v>
      </c>
      <c r="E22" s="52" t="n">
        <f aca="false">('1. Balance General'!D13-'1. Balance General'!D30)-('1. Balance General'!E13-'1. Balance General'!E30)</f>
        <v>0</v>
      </c>
      <c r="F22" s="49"/>
    </row>
    <row r="23" customFormat="false" ht="18" hidden="false" customHeight="true" outlineLevel="0" collapsed="false">
      <c r="B23" s="38" t="s">
        <v>242</v>
      </c>
      <c r="C23" s="33" t="n">
        <f aca="false">-('2. Estado de Resultados'!C28+'2. Estado de Resultados'!C29)</f>
        <v>-0</v>
      </c>
      <c r="D23" s="33" t="n">
        <f aca="false">-('2. Estado de Resultados'!D28+'2. Estado de Resultados'!D29)</f>
        <v>-0</v>
      </c>
      <c r="E23" s="52" t="n">
        <f aca="false">-('2. Estado de Resultados'!E28+'2. Estado de Resultados'!E29)</f>
        <v>-0</v>
      </c>
      <c r="F23" s="49"/>
    </row>
    <row r="24" customFormat="false" ht="21.75" hidden="false" customHeight="true" outlineLevel="0" collapsed="false">
      <c r="B24" s="27" t="s">
        <v>243</v>
      </c>
      <c r="C24" s="16" t="n">
        <f aca="false">C20-C21-C22-C23</f>
        <v>0</v>
      </c>
      <c r="D24" s="16" t="n">
        <f aca="false">D20-D21-D22-D23</f>
        <v>0</v>
      </c>
      <c r="E24" s="16" t="n">
        <f aca="false">E20-E21-E22-E23</f>
        <v>0</v>
      </c>
      <c r="F24" s="49"/>
    </row>
  </sheetData>
  <mergeCells count="4">
    <mergeCell ref="B1:F1"/>
    <mergeCell ref="B4:F4"/>
    <mergeCell ref="B13:F13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0"/>
  </cols>
  <sheetData>
    <row r="1" customFormat="false" ht="49.5" hidden="false" customHeight="true" outlineLevel="0" collapsed="false">
      <c r="B1" s="53" t="s">
        <v>244</v>
      </c>
      <c r="C1" s="53"/>
      <c r="D1" s="53"/>
      <c r="E1" s="53"/>
      <c r="F1" s="53"/>
      <c r="G1" s="53"/>
    </row>
    <row r="2" customFormat="false" ht="21.75" hidden="false" customHeight="true" outlineLevel="0" collapsed="false">
      <c r="B2" s="54" t="s">
        <v>245</v>
      </c>
      <c r="C2" s="54"/>
      <c r="D2" s="54"/>
      <c r="E2" s="54"/>
      <c r="F2" s="54"/>
      <c r="G2" s="54"/>
    </row>
    <row r="3" customFormat="false" ht="7.5" hidden="false" customHeight="true" outlineLevel="0" collapsed="false"/>
    <row r="4" customFormat="false" ht="21.75" hidden="false" customHeight="true" outlineLevel="0" collapsed="false">
      <c r="B4" s="55" t="s">
        <v>113</v>
      </c>
      <c r="C4" s="55" t="s">
        <v>234</v>
      </c>
      <c r="D4" s="55" t="s">
        <v>246</v>
      </c>
      <c r="E4" s="55" t="s">
        <v>140</v>
      </c>
      <c r="F4" s="55" t="s">
        <v>247</v>
      </c>
    </row>
    <row r="5" customFormat="false" ht="31.5" hidden="false" customHeight="true" outlineLevel="0" collapsed="false">
      <c r="B5" s="56" t="n">
        <f aca="false">'2. Estado de Resultados'!E8</f>
        <v>0</v>
      </c>
      <c r="C5" s="56" t="n">
        <f aca="false">'6. EBITDA &amp; CCE'!E9</f>
        <v>0</v>
      </c>
      <c r="D5" s="57" t="str">
        <f aca="false">'6. EBITDA &amp; CCE'!E10</f>
        <v>-</v>
      </c>
      <c r="E5" s="56" t="n">
        <f aca="false">'2. Estado de Resultados'!E30</f>
        <v>0</v>
      </c>
      <c r="F5" s="57" t="str">
        <f aca="false">IFERROR('2. Estado de Resultados'!E30/'2. Estado de Resultados'!E8,"-")</f>
        <v>-</v>
      </c>
    </row>
    <row r="6" customFormat="false" ht="18" hidden="false" customHeight="true" outlineLevel="0" collapsed="false">
      <c r="B6" s="58" t="s">
        <v>248</v>
      </c>
      <c r="C6" s="58" t="s">
        <v>248</v>
      </c>
      <c r="D6" s="58" t="s">
        <v>248</v>
      </c>
      <c r="E6" s="58" t="s">
        <v>248</v>
      </c>
      <c r="F6" s="58" t="s">
        <v>248</v>
      </c>
    </row>
    <row r="9" customFormat="false" ht="21.75" hidden="false" customHeight="true" outlineLevel="0" collapsed="false">
      <c r="B9" s="55" t="s">
        <v>249</v>
      </c>
      <c r="C9" s="55" t="s">
        <v>250</v>
      </c>
      <c r="D9" s="55" t="s">
        <v>251</v>
      </c>
      <c r="E9" s="55" t="s">
        <v>252</v>
      </c>
      <c r="F9" s="55" t="s">
        <v>253</v>
      </c>
    </row>
    <row r="10" customFormat="false" ht="31.5" hidden="false" customHeight="true" outlineLevel="0" collapsed="false">
      <c r="B10" s="59" t="str">
        <f aca="false">IFERROR(('1. Balance General'!E26+'1. Balance General'!E32-'1. Balance General'!E7)/('6. EBITDA &amp; CCE'!E9),"-")</f>
        <v>-</v>
      </c>
      <c r="C10" s="59" t="str">
        <f aca="false">IFERROR('1. Balance General'!E13/'1. Balance General'!E30,"-")</f>
        <v>-</v>
      </c>
      <c r="D10" s="57" t="str">
        <f aca="false">IFERROR('2. Estado de Resultados'!E30/'1. Balance General'!E44,"-")</f>
        <v>-</v>
      </c>
      <c r="E10" s="60" t="n">
        <f aca="false">'6. EBITDA &amp; CCE'!E17</f>
        <v>0</v>
      </c>
      <c r="F10" s="59" t="str">
        <f aca="false">IFERROR('2. Estado de Resultados'!E18/'2. Estado de Resultados'!E22,"-")</f>
        <v>-</v>
      </c>
    </row>
    <row r="11" customFormat="false" ht="18" hidden="false" customHeight="true" outlineLevel="0" collapsed="false">
      <c r="B11" s="58" t="s">
        <v>254</v>
      </c>
      <c r="C11" s="58" t="s">
        <v>255</v>
      </c>
      <c r="D11" s="58" t="s">
        <v>256</v>
      </c>
      <c r="E11" s="58" t="s">
        <v>257</v>
      </c>
      <c r="F11" s="58" t="s">
        <v>258</v>
      </c>
    </row>
    <row r="14" customFormat="false" ht="7.5" hidden="false" customHeight="true" outlineLevel="0" collapsed="false"/>
    <row r="15" customFormat="false" ht="21.75" hidden="false" customHeight="true" outlineLevel="0" collapsed="false">
      <c r="B15" s="14" t="s">
        <v>259</v>
      </c>
      <c r="C15" s="14"/>
      <c r="D15" s="14"/>
      <c r="E15" s="14"/>
      <c r="F15" s="14"/>
      <c r="G15" s="14"/>
    </row>
    <row r="16" customFormat="false" ht="21.75" hidden="false" customHeight="true" outlineLevel="0" collapsed="false">
      <c r="B16" s="13" t="s">
        <v>260</v>
      </c>
      <c r="C16" s="13" t="s">
        <v>31</v>
      </c>
      <c r="D16" s="13" t="s">
        <v>32</v>
      </c>
      <c r="E16" s="13" t="s">
        <v>33</v>
      </c>
      <c r="F16" s="13" t="s">
        <v>261</v>
      </c>
      <c r="G16" s="13" t="s">
        <v>262</v>
      </c>
    </row>
    <row r="17" customFormat="false" ht="19.5" hidden="false" customHeight="true" outlineLevel="0" collapsed="false">
      <c r="B17" s="38" t="s">
        <v>131</v>
      </c>
      <c r="C17" s="61" t="n">
        <f aca="false">'2. Estado de Resultados'!C8</f>
        <v>0</v>
      </c>
      <c r="D17" s="61" t="n">
        <f aca="false">'2. Estado de Resultados'!D8</f>
        <v>0</v>
      </c>
      <c r="E17" s="61" t="n">
        <f aca="false">'2. Estado de Resultados'!E8</f>
        <v>0</v>
      </c>
      <c r="F17" s="62" t="str">
        <f aca="false">IF(ISNUMBER(E17),IF(E17&gt;D17,"▲ MEJORA","▼ BAJA"),"-")</f>
        <v>▼ BAJA</v>
      </c>
      <c r="G17" s="63" t="str">
        <f aca="false">IF(ISNUMBER(E17),IF(E17&gt;C17,"● VERDE","● ATENCIÓN"),"-")</f>
        <v>● ATENCIÓN</v>
      </c>
    </row>
    <row r="18" customFormat="false" ht="19.5" hidden="false" customHeight="true" outlineLevel="0" collapsed="false">
      <c r="B18" s="32" t="s">
        <v>134</v>
      </c>
      <c r="C18" s="33" t="n">
        <f aca="false">'2. Estado de Resultados'!C10</f>
        <v>0</v>
      </c>
      <c r="D18" s="33" t="n">
        <f aca="false">'2. Estado de Resultados'!D10</f>
        <v>0</v>
      </c>
      <c r="E18" s="33" t="n">
        <f aca="false">'2. Estado de Resultados'!E10</f>
        <v>0</v>
      </c>
      <c r="F18" s="64" t="str">
        <f aca="false">IF(ISNUMBER(E18),IF(E18&gt;D18,"▲ MEJORA","▼ BAJA"),"-")</f>
        <v>▼ BAJA</v>
      </c>
      <c r="G18" s="65" t="str">
        <f aca="false">IF(ISNUMBER(E18),IF(E18&gt;C18,"● VERDE","● ATENCIÓN"),"-")</f>
        <v>● ATENCIÓN</v>
      </c>
    </row>
    <row r="19" customFormat="false" ht="19.5" hidden="false" customHeight="true" outlineLevel="0" collapsed="false">
      <c r="B19" s="38" t="s">
        <v>263</v>
      </c>
      <c r="C19" s="61" t="n">
        <f aca="false">'2. Estado de Resultados'!C18</f>
        <v>0</v>
      </c>
      <c r="D19" s="61" t="n">
        <f aca="false">'2. Estado de Resultados'!D18</f>
        <v>0</v>
      </c>
      <c r="E19" s="61" t="n">
        <f aca="false">'2. Estado de Resultados'!E18</f>
        <v>0</v>
      </c>
      <c r="F19" s="62" t="str">
        <f aca="false">IF(ISNUMBER(E19),IF(E19&gt;D19,"▲ MEJORA","▼ BAJA"),"-")</f>
        <v>▼ BAJA</v>
      </c>
      <c r="G19" s="63" t="str">
        <f aca="false">IF(ISNUMBER(E19),IF(E19&gt;C19,"● VERDE","● ATENCIÓN"),"-")</f>
        <v>● ATENCIÓN</v>
      </c>
    </row>
    <row r="20" customFormat="false" ht="19.5" hidden="false" customHeight="true" outlineLevel="0" collapsed="false">
      <c r="B20" s="32" t="s">
        <v>234</v>
      </c>
      <c r="C20" s="33" t="n">
        <f aca="false">'6. EBITDA &amp; CCE'!C9</f>
        <v>0</v>
      </c>
      <c r="D20" s="33" t="n">
        <f aca="false">'6. EBITDA &amp; CCE'!D9</f>
        <v>0</v>
      </c>
      <c r="E20" s="33" t="n">
        <f aca="false">'6. EBITDA &amp; CCE'!E9</f>
        <v>0</v>
      </c>
      <c r="F20" s="64" t="str">
        <f aca="false">IF(ISNUMBER(E20),IF(E20&gt;D20,"▲ MEJORA","▼ BAJA"),"-")</f>
        <v>▼ BAJA</v>
      </c>
      <c r="G20" s="65" t="str">
        <f aca="false">IF(ISNUMBER(E20),IF(E20&gt;C20,"● VERDE","● ATENCIÓN"),"-")</f>
        <v>● ATENCIÓN</v>
      </c>
    </row>
    <row r="21" customFormat="false" ht="19.5" hidden="false" customHeight="true" outlineLevel="0" collapsed="false">
      <c r="B21" s="38" t="s">
        <v>230</v>
      </c>
      <c r="C21" s="61" t="n">
        <f aca="false">'2. Estado de Resultados'!C30</f>
        <v>0</v>
      </c>
      <c r="D21" s="61" t="n">
        <f aca="false">'2. Estado de Resultados'!D30</f>
        <v>0</v>
      </c>
      <c r="E21" s="61" t="n">
        <f aca="false">'2. Estado de Resultados'!E30</f>
        <v>0</v>
      </c>
      <c r="F21" s="62" t="str">
        <f aca="false">IF(ISNUMBER(E21),IF(E21&gt;D21,"▲ MEJORA","▼ BAJA"),"-")</f>
        <v>▼ BAJA</v>
      </c>
      <c r="G21" s="63" t="str">
        <f aca="false">IF(ISNUMBER(E21),IF(E21&gt;C21,"● VERDE","● ATENCIÓN"),"-")</f>
        <v>● ATENCIÓN</v>
      </c>
    </row>
    <row r="22" customFormat="false" ht="19.5" hidden="false" customHeight="true" outlineLevel="0" collapsed="false">
      <c r="B22" s="32" t="s">
        <v>264</v>
      </c>
      <c r="C22" s="66" t="str">
        <f aca="false">'2. Estado de Resultados'!C11</f>
        <v>-</v>
      </c>
      <c r="D22" s="66" t="str">
        <f aca="false">'2. Estado de Resultados'!D11</f>
        <v>-</v>
      </c>
      <c r="E22" s="66" t="str">
        <f aca="false">'2. Estado de Resultados'!E11</f>
        <v>-</v>
      </c>
      <c r="F22" s="64" t="str">
        <f aca="false">IF(ISNUMBER(E22),IF(E22&gt;D22,"▲ MEJORA","▼ BAJA"),"-")</f>
        <v>-</v>
      </c>
      <c r="G22" s="65" t="str">
        <f aca="false">IF(ISNUMBER(E22),IF(E22&gt;C22,"● VERDE","● ATENCIÓN"),"-")</f>
        <v>-</v>
      </c>
    </row>
    <row r="23" customFormat="false" ht="19.5" hidden="false" customHeight="true" outlineLevel="0" collapsed="false">
      <c r="B23" s="38" t="s">
        <v>265</v>
      </c>
      <c r="C23" s="67" t="str">
        <f aca="false">'2. Estado de Resultados'!C19</f>
        <v>-</v>
      </c>
      <c r="D23" s="67" t="str">
        <f aca="false">'2. Estado de Resultados'!D19</f>
        <v>-</v>
      </c>
      <c r="E23" s="67" t="str">
        <f aca="false">'2. Estado de Resultados'!E19</f>
        <v>-</v>
      </c>
      <c r="F23" s="62" t="str">
        <f aca="false">IF(ISNUMBER(E23),IF(E23&gt;D23,"▲ MEJORA","▼ BAJA"),"-")</f>
        <v>-</v>
      </c>
      <c r="G23" s="63" t="str">
        <f aca="false">IF(ISNUMBER(E23),IF(E23&gt;C23,"● VERDE","● ATENCIÓN"),"-")</f>
        <v>-</v>
      </c>
    </row>
    <row r="24" customFormat="false" ht="19.5" hidden="false" customHeight="true" outlineLevel="0" collapsed="false">
      <c r="B24" s="32" t="s">
        <v>266</v>
      </c>
      <c r="C24" s="66" t="str">
        <f aca="false">'2. Estado de Resultados'!C31</f>
        <v>-</v>
      </c>
      <c r="D24" s="66" t="str">
        <f aca="false">'2. Estado de Resultados'!D31</f>
        <v>-</v>
      </c>
      <c r="E24" s="66" t="str">
        <f aca="false">'2. Estado de Resultados'!E31</f>
        <v>-</v>
      </c>
      <c r="F24" s="64" t="str">
        <f aca="false">IF(ISNUMBER(E24),IF(E24&gt;D24,"▲ MEJORA","▼ BAJA"),"-")</f>
        <v>-</v>
      </c>
      <c r="G24" s="65" t="str">
        <f aca="false">IF(ISNUMBER(E24),IF(E24&gt;C24,"● VERDE","● ATENCIÓN"),"-")</f>
        <v>-</v>
      </c>
    </row>
    <row r="25" customFormat="false" ht="19.5" hidden="false" customHeight="true" outlineLevel="0" collapsed="false">
      <c r="B25" s="38" t="s">
        <v>267</v>
      </c>
      <c r="C25" s="68" t="n">
        <f aca="false">'6. EBITDA &amp; CCE'!C17</f>
        <v>0</v>
      </c>
      <c r="D25" s="68" t="n">
        <f aca="false">'6. EBITDA &amp; CCE'!D17</f>
        <v>0</v>
      </c>
      <c r="E25" s="68" t="n">
        <f aca="false">'6. EBITDA &amp; CCE'!E17</f>
        <v>0</v>
      </c>
      <c r="F25" s="62" t="str">
        <f aca="false">IF(ISNUMBER(E25),IF(E25&gt;D25,"▲ MEJORA","▼ BAJA"),"-")</f>
        <v>▼ BAJA</v>
      </c>
      <c r="G25" s="63" t="str">
        <f aca="false">IF(ISNUMBER(E25),IF(E25&gt;C25,"● VERDE","● ATENCIÓN"),"-")</f>
        <v>● ATENCIÓN</v>
      </c>
    </row>
    <row r="26" customFormat="false" ht="19.5" hidden="false" customHeight="true" outlineLevel="0" collapsed="false">
      <c r="B26" s="32" t="s">
        <v>154</v>
      </c>
      <c r="C26" s="69" t="str">
        <f aca="false">IFERROR('1. Balance General'!C13/'1. Balance General'!C30,"-")</f>
        <v>-</v>
      </c>
      <c r="D26" s="69" t="str">
        <f aca="false">IFERROR('1. Balance General'!D13/'1. Balance General'!D30,"-")</f>
        <v>-</v>
      </c>
      <c r="E26" s="69" t="str">
        <f aca="false">IFERROR('1. Balance General'!E13/'1. Balance General'!E30,"-")</f>
        <v>-</v>
      </c>
      <c r="F26" s="64" t="str">
        <f aca="false">IF(ISNUMBER(E26),IF(E26&gt;D26,"▲ MEJORA","▼ BAJA"),"-")</f>
        <v>-</v>
      </c>
      <c r="G26" s="65" t="str">
        <f aca="false">IF(ISNUMBER(E26),IF(E26&gt;C26,"● VERDE","● ATENCIÓN"),"-")</f>
        <v>-</v>
      </c>
    </row>
  </sheetData>
  <mergeCells count="3">
    <mergeCell ref="B1:G1"/>
    <mergeCell ref="B2:G2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4242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39.75" hidden="false" customHeight="true" outlineLevel="0" collapsed="false">
      <c r="A1" s="70" t="s">
        <v>268</v>
      </c>
      <c r="B1" s="70"/>
    </row>
    <row r="2" customFormat="false" ht="21.75" hidden="false" customHeight="true" outlineLevel="0" collapsed="false">
      <c r="B2" s="71" t="s">
        <v>269</v>
      </c>
    </row>
    <row r="3" customFormat="false" ht="39.75" hidden="false" customHeight="true" outlineLevel="0" collapsed="false">
      <c r="B3" s="72" t="s">
        <v>270</v>
      </c>
    </row>
    <row r="4" customFormat="false" ht="21.75" hidden="false" customHeight="true" outlineLevel="0" collapsed="false">
      <c r="B4" s="71" t="s">
        <v>271</v>
      </c>
    </row>
    <row r="5" customFormat="false" ht="39.75" hidden="false" customHeight="true" outlineLevel="0" collapsed="false">
      <c r="B5" s="72" t="s">
        <v>272</v>
      </c>
    </row>
    <row r="6" customFormat="false" ht="21.75" hidden="false" customHeight="true" outlineLevel="0" collapsed="false">
      <c r="B6" s="71" t="s">
        <v>273</v>
      </c>
    </row>
    <row r="7" customFormat="false" ht="39.75" hidden="false" customHeight="true" outlineLevel="0" collapsed="false">
      <c r="B7" s="72" t="s">
        <v>274</v>
      </c>
    </row>
    <row r="8" customFormat="false" ht="21.75" hidden="false" customHeight="true" outlineLevel="0" collapsed="false">
      <c r="B8" s="71" t="s">
        <v>275</v>
      </c>
    </row>
    <row r="9" customFormat="false" ht="39.75" hidden="false" customHeight="true" outlineLevel="0" collapsed="false">
      <c r="B9" s="72" t="s">
        <v>276</v>
      </c>
    </row>
    <row r="10" customFormat="false" ht="21.75" hidden="false" customHeight="true" outlineLevel="0" collapsed="false">
      <c r="B10" s="71" t="s">
        <v>277</v>
      </c>
    </row>
    <row r="11" customFormat="false" ht="39.75" hidden="false" customHeight="true" outlineLevel="0" collapsed="false">
      <c r="B11" s="72" t="s">
        <v>278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2026-03-26T17:26:39Z</dcterms:created>
  <dc:creator>openpyxl</dc:creator>
  <dc:description/>
  <dc:language>en-US</dc:language>
  <cp:lastModifiedBy/>
  <dcterms:modified xsi:type="dcterms:W3CDTF">2026-03-26T17:26:39Z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